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FrameworkedStarFire\ExcelFiles\dev\Datas\"/>
    </mc:Choice>
  </mc:AlternateContent>
  <xr:revisionPtr revIDLastSave="0" documentId="13_ncr:1_{3883D3E7-573F-4660-84DA-381183EC988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adMe" sheetId="1" r:id="rId1"/>
    <sheet name="Buff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4" i="2" l="1"/>
  <c r="R43" i="2"/>
  <c r="R42" i="2"/>
  <c r="R34" i="2"/>
</calcChain>
</file>

<file path=xl/sharedStrings.xml><?xml version="1.0" encoding="utf-8"?>
<sst xmlns="http://schemas.openxmlformats.org/spreadsheetml/2006/main" count="598" uniqueCount="340">
  <si>
    <t>ID</t>
  </si>
  <si>
    <t>Name</t>
  </si>
  <si>
    <t>By</t>
  </si>
  <si>
    <t>Numerical</t>
  </si>
  <si>
    <t>Description</t>
  </si>
  <si>
    <t>StatId:</t>
  </si>
  <si>
    <t>Atk Pwr</t>
  </si>
  <si>
    <t>ModKind:</t>
  </si>
  <si>
    <t>Add</t>
  </si>
  <si>
    <t>TriggerType:</t>
  </si>
  <si>
    <t>None,</t>
  </si>
  <si>
    <t>1xxx</t>
  </si>
  <si>
    <t>Attack Power Boost</t>
  </si>
  <si>
    <t>Value</t>
  </si>
  <si>
    <t>Increase player's damage</t>
  </si>
  <si>
    <t>Atk Spd</t>
  </si>
  <si>
    <t>Mul</t>
  </si>
  <si>
    <t>OnHit</t>
  </si>
  <si>
    <t>2xxx</t>
  </si>
  <si>
    <t>Percentage</t>
  </si>
  <si>
    <t>BulletPierce</t>
  </si>
  <si>
    <t>Override</t>
  </si>
  <si>
    <t>OnCast</t>
  </si>
  <si>
    <t>3xxx</t>
  </si>
  <si>
    <t>Attack Speed Boost</t>
  </si>
  <si>
    <t>Increase player's attack speed</t>
  </si>
  <si>
    <t>Shield</t>
  </si>
  <si>
    <t>OnKill</t>
  </si>
  <si>
    <t>4xxx</t>
  </si>
  <si>
    <t>OnDeath</t>
  </si>
  <si>
    <t>5xxx</t>
  </si>
  <si>
    <t>Add extra health</t>
  </si>
  <si>
    <t>OnDamaged</t>
  </si>
  <si>
    <t>6xxx</t>
  </si>
  <si>
    <t>Periodic</t>
  </si>
  <si>
    <t>7xxx</t>
  </si>
  <si>
    <t>8xxx</t>
  </si>
  <si>
    <t>9xxx</t>
  </si>
  <si>
    <t>Explosive Bullet</t>
  </si>
  <si>
    <t>NonNum</t>
  </si>
  <si>
    <t>1: damage  2: radius</t>
  </si>
  <si>
    <t>Index start from 1,
eg. 1001</t>
  </si>
  <si>
    <t>##var</t>
  </si>
  <si>
    <t>id</t>
  </si>
  <si>
    <t>buffName</t>
  </si>
  <si>
    <t>statId</t>
  </si>
  <si>
    <t>modKind</t>
  </si>
  <si>
    <t>buffAttrib1</t>
  </si>
  <si>
    <t># comment</t>
  </si>
  <si>
    <t>buffAttrib2</t>
  </si>
  <si>
    <t>buffAttrib3</t>
  </si>
  <si>
    <t>buffAttrib4</t>
  </si>
  <si>
    <t>trigger</t>
  </si>
  <si>
    <t>triggerOp</t>
  </si>
  <si>
    <t>maxStacks</t>
  </si>
  <si>
    <t>refreshOnStack</t>
  </si>
  <si>
    <t>description</t>
  </si>
  <si>
    <t>optionName</t>
  </si>
  <si>
    <t>spritePath</t>
  </si>
  <si>
    <t>showData</t>
  </si>
  <si>
    <t>iconColor</t>
  </si>
  <si>
    <t>##type</t>
  </si>
  <si>
    <t>int</t>
  </si>
  <si>
    <t>string</t>
  </si>
  <si>
    <t>Enum.StatId</t>
  </si>
  <si>
    <t>Enum.ModKind</t>
  </si>
  <si>
    <t>float</t>
  </si>
  <si>
    <t>Enum.TriggerType</t>
  </si>
  <si>
    <t>bool</t>
  </si>
  <si>
    <t>##group</t>
  </si>
  <si>
    <t>c</t>
  </si>
  <si>
    <t>##</t>
  </si>
  <si>
    <t>BuffID</t>
  </si>
  <si>
    <t>BuffName</t>
  </si>
  <si>
    <t>StatID</t>
  </si>
  <si>
    <t>ModKind</t>
  </si>
  <si>
    <t>BuffAttrib1</t>
  </si>
  <si>
    <t>描述</t>
  </si>
  <si>
    <t>BuffAttrib2</t>
  </si>
  <si>
    <t>BuffAttrib3</t>
  </si>
  <si>
    <t>BuffAttrib4</t>
  </si>
  <si>
    <t>Trigger</t>
  </si>
  <si>
    <t>TriggerOp</t>
  </si>
  <si>
    <t>MaxStacks</t>
  </si>
  <si>
    <t>RefreshOnStack</t>
  </si>
  <si>
    <t>OptionName</t>
  </si>
  <si>
    <t>SpritePath</t>
  </si>
  <si>
    <t>ShowData</t>
  </si>
  <si>
    <t>IconColor</t>
  </si>
  <si>
    <t>AtkPwrBoostA1</t>
  </si>
  <si>
    <t>AtkPwr</t>
  </si>
  <si>
    <t>N/A</t>
  </si>
  <si>
    <t>Attack Power</t>
  </si>
  <si>
    <t>icon_attack_power.png</t>
  </si>
  <si>
    <t>#F54D41</t>
  </si>
  <si>
    <t>AtkPwrBoostA2</t>
  </si>
  <si>
    <t>AtkPwrBoostA3</t>
  </si>
  <si>
    <t>AtkPwrBoostA4</t>
  </si>
  <si>
    <t>AtkPwrBoostB1</t>
  </si>
  <si>
    <t>AtkPwrBoostB2</t>
  </si>
  <si>
    <t>AtkPwrBoostB3</t>
  </si>
  <si>
    <t>#F54D42</t>
  </si>
  <si>
    <t>AtkPwrBoostB4</t>
  </si>
  <si>
    <t>#F54D43</t>
  </si>
  <si>
    <t>AtkPwrBoostB10</t>
  </si>
  <si>
    <t>in-game drop only</t>
  </si>
  <si>
    <t>#F54D44</t>
  </si>
  <si>
    <t>AtkSpdBoostA1</t>
  </si>
  <si>
    <t>AtkSpd</t>
  </si>
  <si>
    <t>Attack Speed</t>
  </si>
  <si>
    <t>icon_attack_speed.png</t>
  </si>
  <si>
    <t>#FFA32F</t>
  </si>
  <si>
    <t>AtkSpdBoostA2</t>
  </si>
  <si>
    <t>#FFA33F</t>
  </si>
  <si>
    <t>AtkSpdBoostA3</t>
  </si>
  <si>
    <t>#FFA34F</t>
  </si>
  <si>
    <t>AtkSpdBoostA4</t>
  </si>
  <si>
    <t>#FFA35F</t>
  </si>
  <si>
    <t>AtkSpdBoostA10</t>
  </si>
  <si>
    <t>#FFA36F</t>
  </si>
  <si>
    <t>BulletPierceA1</t>
  </si>
  <si>
    <t>Bullet Pierce</t>
  </si>
  <si>
    <t>icon_pierce.png</t>
  </si>
  <si>
    <t>#FFCC31</t>
  </si>
  <si>
    <t>BulletPierceA2</t>
  </si>
  <si>
    <t>#FFCC32</t>
  </si>
  <si>
    <t>BulletPierceA3</t>
  </si>
  <si>
    <t>#FFCC33</t>
  </si>
  <si>
    <t>ShieldA1</t>
  </si>
  <si>
    <t>icon_shield.png</t>
  </si>
  <si>
    <t>#58A2E8</t>
  </si>
  <si>
    <t>ShieldA2</t>
  </si>
  <si>
    <t>#58A2E9</t>
  </si>
  <si>
    <t>ShieldA3</t>
  </si>
  <si>
    <t>#58A2E10</t>
  </si>
  <si>
    <t>ShieldA4</t>
  </si>
  <si>
    <t>#58A2E11</t>
  </si>
  <si>
    <t>ShieldA10</t>
  </si>
  <si>
    <t>#58A2E12</t>
  </si>
  <si>
    <t>BltPatternA1</t>
  </si>
  <si>
    <t>None</t>
  </si>
  <si>
    <t>BulletPattern_single</t>
  </si>
  <si>
    <t>1 bullet per shot</t>
  </si>
  <si>
    <t>Single Shot</t>
  </si>
  <si>
    <t>icon_spreadgun.png</t>
  </si>
  <si>
    <t>#58D0E8</t>
  </si>
  <si>
    <t>BltPatternA2</t>
  </si>
  <si>
    <t>BulletPattern_twin</t>
  </si>
  <si>
    <t>2 bullets per shot</t>
  </si>
  <si>
    <t>Twin Shot</t>
  </si>
  <si>
    <t>#58D0E9</t>
  </si>
  <si>
    <t>BltPatternA3</t>
  </si>
  <si>
    <t>BulletPattern_triple</t>
  </si>
  <si>
    <t>3 bullet per shot</t>
  </si>
  <si>
    <t>Triple Shot</t>
  </si>
  <si>
    <t>#58D0E10</t>
  </si>
  <si>
    <t>BltPatternA4</t>
  </si>
  <si>
    <t>BulletPattern_spread</t>
  </si>
  <si>
    <t>4 bullet per shot</t>
  </si>
  <si>
    <t>Spread Shot</t>
  </si>
  <si>
    <t>#58D0E11</t>
  </si>
  <si>
    <t>ShieldAttackSpeedBonusA1</t>
  </si>
  <si>
    <t>ExplosiveBltA1</t>
  </si>
  <si>
    <t>damage</t>
  </si>
  <si>
    <t>radius</t>
  </si>
  <si>
    <t>vfxDuration</t>
  </si>
  <si>
    <t>vfxScale</t>
  </si>
  <si>
    <t>ExplodeSmall</t>
  </si>
  <si>
    <t>icon_missle.png</t>
  </si>
  <si>
    <t>#FF9933</t>
  </si>
  <si>
    <t>WingmanRepairA1</t>
  </si>
  <si>
    <t>period</t>
  </si>
  <si>
    <t>heal</t>
  </si>
  <si>
    <t>noDamageThreshold</t>
  </si>
  <si>
    <t>WingmanRepairLv1</t>
  </si>
  <si>
    <t>After 3s without taking damage, slowly restores HP</t>
  </si>
  <si>
    <t>Repair Wingman Lv1</t>
  </si>
  <si>
    <t>icon_repair.png</t>
  </si>
  <si>
    <t>#B4CF66</t>
  </si>
  <si>
    <t>WingmanRepairA2</t>
  </si>
  <si>
    <t>WingmanRepairLv2</t>
  </si>
  <si>
    <t>Repair Wingman Lv2</t>
  </si>
  <si>
    <t>#B4CF67</t>
  </si>
  <si>
    <t>WingmanRepairA3</t>
  </si>
  <si>
    <t>updatePeriod</t>
  </si>
  <si>
    <t>shieldPerStack</t>
  </si>
  <si>
    <t>appliedBuffId</t>
  </si>
  <si>
    <t>WingmanRepairLv3</t>
  </si>
  <si>
    <t>While shield is active, +50% attack speed</t>
  </si>
  <si>
    <t>Repair Wingman Lv3</t>
  </si>
  <si>
    <t>#B4CF68</t>
  </si>
  <si>
    <t>PiercerUpgradeA1</t>
  </si>
  <si>
    <t>weaponId</t>
  </si>
  <si>
    <t>PiercerLv1</t>
  </si>
  <si>
    <t>Bullets penetrate enemies</t>
  </si>
  <si>
    <t>Piercer Upgrade Lv1</t>
  </si>
  <si>
    <t>icon_piercer_upgrade.png</t>
  </si>
  <si>
    <t>#66518E</t>
  </si>
  <si>
    <t>PiercerUpgradeA2</t>
  </si>
  <si>
    <t>%sizeIncrease</t>
  </si>
  <si>
    <t>%damage</t>
  </si>
  <si>
    <t>PiercerLv2</t>
  </si>
  <si>
    <t>After piercing, bullets grow larger and deal +20% damage</t>
  </si>
  <si>
    <t>Piercer Upgrade Lv2</t>
  </si>
  <si>
    <t>PiercerUpgradeA3</t>
  </si>
  <si>
    <t>PiercerLv3</t>
  </si>
  <si>
    <t>All bullets can pierce; hitting Boss/Elite deals +30% damage</t>
  </si>
  <si>
    <t>Piercer Upgrade Lv3</t>
  </si>
  <si>
    <t>WingmanStrikeA1</t>
  </si>
  <si>
    <t>level</t>
  </si>
  <si>
    <t>AOE range</t>
  </si>
  <si>
    <t>StrikeWingmanLv1</t>
  </si>
  <si>
    <t>Vertical bombing line</t>
  </si>
  <si>
    <t>Strike Wingman Lv1</t>
  </si>
  <si>
    <t>icon_strike_wingman.png</t>
  </si>
  <si>
    <t>#F8D948</t>
  </si>
  <si>
    <t>WingmanStrikeA2</t>
  </si>
  <si>
    <t>StrikeWingmanLv2</t>
  </si>
  <si>
    <t>Vertical bombing line x 3</t>
  </si>
  <si>
    <t>Strike Wingman Lv2</t>
  </si>
  <si>
    <t>WingmanStrikeA3</t>
  </si>
  <si>
    <t>StrikeWingmanLv3</t>
  </si>
  <si>
    <t>Vertical bombing line x 5</t>
  </si>
  <si>
    <t>Strike Wingman Lv3</t>
  </si>
  <si>
    <t>WingmanAttackA1</t>
  </si>
  <si>
    <t>Added number</t>
  </si>
  <si>
    <t>AttackWingmanLv1</t>
  </si>
  <si>
    <t>Attack Wingman Lv1</t>
  </si>
  <si>
    <t>icon_wingman.png</t>
  </si>
  <si>
    <t>#E33B0B</t>
  </si>
  <si>
    <t>WingmanAttackA2</t>
  </si>
  <si>
    <t>AttackWingmanLv2</t>
  </si>
  <si>
    <t>Attack Wingman Lv2</t>
  </si>
  <si>
    <t>WingmanAttackA3</t>
  </si>
  <si>
    <t>AttackWingmanLv3</t>
  </si>
  <si>
    <t>Attack Wingman Lv3</t>
  </si>
  <si>
    <t>HuntersRoundA1</t>
  </si>
  <si>
    <t>Duration</t>
  </si>
  <si>
    <t>HuntersRoundLv1</t>
  </si>
  <si>
    <t>Hits mark enemies for 5 sec; marked targets take +80% damage</t>
  </si>
  <si>
    <t>Hunter’s Round Lv1</t>
  </si>
  <si>
    <t>icon_hunters_round.png</t>
  </si>
  <si>
    <t>#518E68</t>
  </si>
  <si>
    <t>HuntersRoundA2</t>
  </si>
  <si>
    <t>HuntersRoundLv2</t>
  </si>
  <si>
    <t>Marks stack up to 10</t>
  </si>
  <si>
    <t>Hunter’s Round Lv2</t>
  </si>
  <si>
    <t>HuntersRoundA3</t>
  </si>
  <si>
    <t>StackThreshold</t>
  </si>
  <si>
    <t>%Damage</t>
  </si>
  <si>
    <t>Radius</t>
  </si>
  <si>
    <t>HuntersRoundLv3</t>
  </si>
  <si>
    <t>At max stacks, target explodes and deals 50% AOE damage</t>
  </si>
  <si>
    <t>Hunter’s Round Lv3</t>
  </si>
  <si>
    <t>HuntersRoundVulnerA1</t>
  </si>
  <si>
    <t>%per stack</t>
  </si>
  <si>
    <t>Damage types: 0=generic, 1=gun, 2=missile, 3=wingman, 4=shortranged</t>
  </si>
  <si>
    <t>HR_Vulnerability</t>
  </si>
  <si>
    <t>HomingMissileA1</t>
  </si>
  <si>
    <t>Missile Number</t>
  </si>
  <si>
    <t>HomingMissileLv1</t>
  </si>
  <si>
    <t>Fires 2 tracking missiles</t>
  </si>
  <si>
    <t>Homing Missile Lv1</t>
  </si>
  <si>
    <t>icon_homing_missle.png</t>
  </si>
  <si>
    <t>#8D12AE</t>
  </si>
  <si>
    <t>HomingMissileA2</t>
  </si>
  <si>
    <t>HomingMissileLv2</t>
  </si>
  <si>
    <t>Fires 4 tracking missiles</t>
  </si>
  <si>
    <t>Homing Missile Lv2</t>
  </si>
  <si>
    <t>HomingMissileA3</t>
  </si>
  <si>
    <t>HomingMissileLv3</t>
  </si>
  <si>
    <t>Fires 8 tracking missiles</t>
  </si>
  <si>
    <t>Homing Missile Lv3</t>
  </si>
  <si>
    <t>DelayMissileA1</t>
  </si>
  <si>
    <t>weapon applied</t>
  </si>
  <si>
    <t>weapon removed</t>
  </si>
  <si>
    <t>DelayMissileLv1</t>
  </si>
  <si>
    <t>Fires 2 rockets after short delay periodically</t>
  </si>
  <si>
    <t>Delay Rocket Lv1</t>
  </si>
  <si>
    <t>icon_delayed_rocket.png</t>
  </si>
  <si>
    <t>#035AA4</t>
  </si>
  <si>
    <t>DelayMissileA2</t>
  </si>
  <si>
    <t>DelayMissileLv2</t>
  </si>
  <si>
    <t>Fires 2 rockets after short delay periodically, but faster</t>
  </si>
  <si>
    <t>Delay Rocket Lv2</t>
  </si>
  <si>
    <t>#035AA5</t>
  </si>
  <si>
    <t>DelayMissileA3</t>
  </si>
  <si>
    <t>DelayMissileLv3</t>
  </si>
  <si>
    <t>Fires 2 rockets after short delay periodically, but MUCH faster</t>
  </si>
  <si>
    <t>Delay Rocket Lv3</t>
  </si>
  <si>
    <t>#035AA6</t>
  </si>
  <si>
    <t>BlastMissileA1</t>
  </si>
  <si>
    <t>Bomb Range</t>
  </si>
  <si>
    <t>BlastMissileLv1</t>
  </si>
  <si>
    <t>Fires 1 missile that explodes on impact.</t>
  </si>
  <si>
    <t>Blast Missile Lv1</t>
  </si>
  <si>
    <t>icon_blast_missle.png</t>
  </si>
  <si>
    <t>#A1C7E2</t>
  </si>
  <si>
    <t>BlastMissileA2</t>
  </si>
  <si>
    <t>BlastMissileLv2</t>
  </si>
  <si>
    <t>Fires 1 missile with a bigger explosion.</t>
  </si>
  <si>
    <t>Blast Missile Lv2</t>
  </si>
  <si>
    <t>#A1C7E1</t>
  </si>
  <si>
    <t>BlastMissileA3</t>
  </si>
  <si>
    <t>BlastMissileLv3</t>
  </si>
  <si>
    <t>Fires 1 missile with a huge explosion and 12 splitting missiles</t>
  </si>
  <si>
    <t>Blast Missile Lv3</t>
  </si>
  <si>
    <t>#A1C7E0</t>
  </si>
  <si>
    <t>RapidFireA1</t>
  </si>
  <si>
    <t>patternId</t>
  </si>
  <si>
    <t>RapidFireLv1</t>
  </si>
  <si>
    <t>A machine gun that unleashes a steady stream of bullets</t>
  </si>
  <si>
    <t>Rapid Fire Lv1</t>
  </si>
  <si>
    <t>icon_rapid_fire.png</t>
  </si>
  <si>
    <t>#FF9931</t>
  </si>
  <si>
    <t>RapidFireA2</t>
  </si>
  <si>
    <t>RapidFireLv2</t>
  </si>
  <si>
    <t>More bullets</t>
  </si>
  <si>
    <t>Rapid Fire Lv2</t>
  </si>
  <si>
    <t>#FF9932</t>
  </si>
  <si>
    <t>RapidFireA3</t>
  </si>
  <si>
    <t>RapidFireLv3</t>
  </si>
  <si>
    <t>Morrrrrrrrrrrrrre bullets!</t>
  </si>
  <si>
    <t>Rapid Fire Lv3</t>
  </si>
  <si>
    <t>LaserDamageA1</t>
  </si>
  <si>
    <t>LaserDamage</t>
  </si>
  <si>
    <t>FlameThrowerDamageA1</t>
  </si>
  <si>
    <t>FlameThrowerDamage</t>
  </si>
  <si>
    <t>OrbitalA1</t>
  </si>
  <si>
    <t>OrbitalLv1</t>
  </si>
  <si>
    <t>Spawns 2 orbital bullets</t>
  </si>
  <si>
    <t>Orbital Lv1</t>
  </si>
  <si>
    <t>icon_orbital.png</t>
  </si>
  <si>
    <t>#FF6F61</t>
  </si>
  <si>
    <t>OrbitalA2</t>
  </si>
  <si>
    <t>OrbitalLv2</t>
  </si>
  <si>
    <t>Spawns 3 orbital bullets</t>
  </si>
  <si>
    <t>Orbital Lv2</t>
  </si>
  <si>
    <t>#FF6F62</t>
  </si>
  <si>
    <t>missile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</si>
</sst>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/>
  </sheetViews>
  <sheetFormatPr defaultRowHeight="15" x14ac:dyDescent="0.25"/>
  <cols>
    <col min="1" max="1" width="16.85546875" customWidth="1"/>
    <col min="2" max="2" width="31" customWidth="1"/>
    <col min="3" max="3" width="11.5703125" customWidth="1"/>
    <col min="5" max="5" width="31" customWidth="1"/>
    <col min="10" max="10" width="3.7109375" customWidth="1"/>
    <col min="14" max="14" width="3.7109375" customWidth="1"/>
    <col min="17" max="17" width="12.28515625" customWidth="1"/>
    <col min="18" max="18" width="3.85546875" customWidth="1"/>
    <col min="19" max="19" width="13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>
        <v>0</v>
      </c>
      <c r="K1" s="1" t="s">
        <v>6</v>
      </c>
      <c r="L1" s="1"/>
      <c r="M1" s="1" t="s">
        <v>7</v>
      </c>
      <c r="N1" s="1">
        <v>0</v>
      </c>
      <c r="O1" s="1" t="s">
        <v>8</v>
      </c>
      <c r="P1" s="1"/>
      <c r="Q1" s="1" t="s">
        <v>9</v>
      </c>
      <c r="R1" s="1">
        <v>0</v>
      </c>
      <c r="S1" s="1" t="s">
        <v>10</v>
      </c>
    </row>
    <row r="2" spans="1:19" ht="14.45" customHeight="1" x14ac:dyDescent="0.25">
      <c r="A2" s="1" t="s">
        <v>11</v>
      </c>
      <c r="B2" s="1" t="s">
        <v>12</v>
      </c>
      <c r="C2" s="1" t="s">
        <v>13</v>
      </c>
      <c r="D2" s="1">
        <v>1</v>
      </c>
      <c r="E2" s="1" t="s">
        <v>14</v>
      </c>
      <c r="F2" s="1"/>
      <c r="G2" s="1"/>
      <c r="H2" s="1"/>
      <c r="I2" s="1"/>
      <c r="J2" s="1">
        <v>1</v>
      </c>
      <c r="K2" s="1" t="s">
        <v>15</v>
      </c>
      <c r="L2" s="1"/>
      <c r="M2" s="1"/>
      <c r="N2" s="1">
        <v>1</v>
      </c>
      <c r="O2" s="1" t="s">
        <v>16</v>
      </c>
      <c r="P2" s="1"/>
      <c r="Q2" s="1"/>
      <c r="R2" s="1">
        <v>1</v>
      </c>
      <c r="S2" s="1" t="s">
        <v>17</v>
      </c>
    </row>
    <row r="3" spans="1:19" x14ac:dyDescent="0.25">
      <c r="A3" s="1" t="s">
        <v>18</v>
      </c>
      <c r="B3" s="1" t="s">
        <v>12</v>
      </c>
      <c r="C3" s="1" t="s">
        <v>19</v>
      </c>
      <c r="D3" s="1">
        <v>1</v>
      </c>
      <c r="E3" s="1" t="s">
        <v>14</v>
      </c>
      <c r="F3" s="1"/>
      <c r="G3" s="1"/>
      <c r="H3" s="1"/>
      <c r="I3" s="1"/>
      <c r="J3" s="1">
        <v>2</v>
      </c>
      <c r="K3" s="1" t="s">
        <v>20</v>
      </c>
      <c r="L3" s="1"/>
      <c r="M3" s="1"/>
      <c r="N3" s="1">
        <v>2</v>
      </c>
      <c r="O3" s="1" t="s">
        <v>21</v>
      </c>
      <c r="P3" s="1"/>
      <c r="Q3" s="1"/>
      <c r="R3" s="1">
        <v>2</v>
      </c>
      <c r="S3" s="1" t="s">
        <v>22</v>
      </c>
    </row>
    <row r="4" spans="1:19" x14ac:dyDescent="0.25">
      <c r="A4" s="1" t="s">
        <v>23</v>
      </c>
      <c r="B4" s="1" t="s">
        <v>24</v>
      </c>
      <c r="C4" s="1" t="s">
        <v>19</v>
      </c>
      <c r="D4" s="1">
        <v>1</v>
      </c>
      <c r="E4" s="1" t="s">
        <v>25</v>
      </c>
      <c r="F4" s="1"/>
      <c r="G4" s="1"/>
      <c r="H4" s="1"/>
      <c r="I4" s="1"/>
      <c r="J4" s="1">
        <v>3</v>
      </c>
      <c r="K4" s="1" t="s">
        <v>26</v>
      </c>
      <c r="L4" s="1"/>
      <c r="M4" s="1"/>
      <c r="N4" s="1"/>
      <c r="O4" s="1"/>
      <c r="P4" s="1"/>
      <c r="Q4" s="1"/>
      <c r="R4" s="1">
        <v>3</v>
      </c>
      <c r="S4" s="1" t="s">
        <v>27</v>
      </c>
    </row>
    <row r="5" spans="1:19" x14ac:dyDescent="0.25">
      <c r="A5" s="1" t="s">
        <v>28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3</v>
      </c>
      <c r="S5" s="1" t="s">
        <v>29</v>
      </c>
    </row>
    <row r="6" spans="1:19" x14ac:dyDescent="0.25">
      <c r="A6" s="1" t="s">
        <v>30</v>
      </c>
      <c r="B6" s="1" t="s">
        <v>26</v>
      </c>
      <c r="C6" s="1" t="s">
        <v>13</v>
      </c>
      <c r="D6" s="1">
        <v>1</v>
      </c>
      <c r="E6" s="1" t="s">
        <v>31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4</v>
      </c>
      <c r="S6" s="1" t="s">
        <v>32</v>
      </c>
    </row>
    <row r="7" spans="1:19" x14ac:dyDescent="0.25">
      <c r="A7" s="1" t="s">
        <v>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5</v>
      </c>
      <c r="S7" s="1" t="s">
        <v>34</v>
      </c>
    </row>
    <row r="8" spans="1:19" x14ac:dyDescent="0.25">
      <c r="A8" s="1" t="s">
        <v>35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 t="s">
        <v>36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 t="s">
        <v>37</v>
      </c>
      <c r="B10" s="1" t="s">
        <v>38</v>
      </c>
      <c r="C10" s="1" t="s">
        <v>39</v>
      </c>
      <c r="D10" s="1">
        <v>2</v>
      </c>
      <c r="E10" s="1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45" customHeight="1" x14ac:dyDescent="0.25">
      <c r="A11" s="1" t="s">
        <v>41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5"/>
  <sheetViews>
    <sheetView tabSelected="1" topLeftCell="A37" workbookViewId="0">
      <selection activeCell="L49" sqref="L49"/>
    </sheetView>
  </sheetViews>
  <sheetFormatPr defaultRowHeight="15" x14ac:dyDescent="0.25"/>
  <cols>
    <col min="1" max="1" width="9.28515625" customWidth="1"/>
    <col min="2" max="2" width="7.7109375" customWidth="1"/>
    <col min="3" max="3" width="15.85546875" customWidth="1"/>
    <col min="4" max="4" width="10.42578125" customWidth="1"/>
    <col min="5" max="5" width="15.140625" customWidth="1"/>
    <col min="6" max="6" width="10.42578125" customWidth="1"/>
    <col min="7" max="7" width="16.28515625" customWidth="1"/>
    <col min="8" max="8" width="10.7109375" customWidth="1"/>
    <col min="9" max="9" width="11.28515625" customWidth="1"/>
    <col min="10" max="10" width="10.5703125" customWidth="1"/>
    <col min="11" max="11" width="12" customWidth="1"/>
    <col min="12" max="12" width="10.5703125" customWidth="1"/>
    <col min="13" max="13" width="13.42578125" customWidth="1"/>
    <col min="14" max="14" width="11.140625" customWidth="1"/>
    <col min="15" max="15" width="21.7109375" customWidth="1"/>
    <col min="16" max="16" width="15.5703125" customWidth="1"/>
    <col min="17" max="17" width="10.28515625" customWidth="1"/>
    <col min="18" max="18" width="43.140625" customWidth="1"/>
    <col min="19" max="19" width="19.140625" customWidth="1"/>
    <col min="20" max="20" width="22.42578125" customWidth="1"/>
    <col min="21" max="21" width="12.85546875" customWidth="1"/>
    <col min="22" max="22" width="20" customWidth="1"/>
  </cols>
  <sheetData>
    <row r="1" spans="1:22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48</v>
      </c>
      <c r="J1" s="1" t="s">
        <v>50</v>
      </c>
      <c r="K1" s="1" t="s">
        <v>48</v>
      </c>
      <c r="L1" s="1" t="s">
        <v>51</v>
      </c>
      <c r="M1" s="1" t="s">
        <v>48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</row>
    <row r="2" spans="1:22" x14ac:dyDescent="0.25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/>
      <c r="H2" s="1" t="s">
        <v>66</v>
      </c>
      <c r="I2" s="1"/>
      <c r="J2" s="1" t="s">
        <v>66</v>
      </c>
      <c r="K2" s="1"/>
      <c r="L2" s="1" t="s">
        <v>66</v>
      </c>
      <c r="M2" s="1"/>
      <c r="N2" s="1" t="s">
        <v>67</v>
      </c>
      <c r="O2" s="1" t="s">
        <v>63</v>
      </c>
      <c r="P2" s="1" t="s">
        <v>62</v>
      </c>
      <c r="Q2" s="1" t="s">
        <v>68</v>
      </c>
      <c r="R2" s="1" t="s">
        <v>63</v>
      </c>
      <c r="S2" s="1" t="s">
        <v>63</v>
      </c>
      <c r="T2" s="1" t="s">
        <v>63</v>
      </c>
      <c r="U2" s="1" t="s">
        <v>68</v>
      </c>
      <c r="V2" s="1" t="s">
        <v>63</v>
      </c>
    </row>
    <row r="3" spans="1:22" x14ac:dyDescent="0.25">
      <c r="A3" s="1" t="s">
        <v>69</v>
      </c>
      <c r="B3" s="1" t="s">
        <v>70</v>
      </c>
      <c r="C3" s="1" t="s">
        <v>70</v>
      </c>
      <c r="D3" s="1" t="s">
        <v>70</v>
      </c>
      <c r="E3" s="1" t="s">
        <v>70</v>
      </c>
      <c r="F3" s="1" t="s">
        <v>70</v>
      </c>
      <c r="G3" s="1"/>
      <c r="H3" s="1" t="s">
        <v>70</v>
      </c>
      <c r="I3" s="1"/>
      <c r="J3" s="1" t="s">
        <v>70</v>
      </c>
      <c r="K3" s="1"/>
      <c r="L3" s="1" t="s">
        <v>70</v>
      </c>
      <c r="M3" s="1"/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</row>
    <row r="4" spans="1:22" ht="30" customHeight="1" x14ac:dyDescent="0.25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77</v>
      </c>
      <c r="J4" s="1" t="s">
        <v>79</v>
      </c>
      <c r="K4" s="1" t="s">
        <v>77</v>
      </c>
      <c r="L4" s="1" t="s">
        <v>80</v>
      </c>
      <c r="M4" s="1" t="s">
        <v>77</v>
      </c>
      <c r="N4" s="1" t="s">
        <v>81</v>
      </c>
      <c r="O4" s="1" t="s">
        <v>82</v>
      </c>
      <c r="P4" s="1" t="s">
        <v>83</v>
      </c>
      <c r="Q4" s="1" t="s">
        <v>84</v>
      </c>
      <c r="R4" s="1" t="s">
        <v>4</v>
      </c>
      <c r="S4" s="1" t="s">
        <v>85</v>
      </c>
      <c r="T4" s="1" t="s">
        <v>86</v>
      </c>
      <c r="U4" s="1" t="s">
        <v>87</v>
      </c>
      <c r="V4" s="1" t="s">
        <v>88</v>
      </c>
    </row>
    <row r="5" spans="1:22" ht="30" customHeight="1" x14ac:dyDescent="0.25">
      <c r="A5" s="1"/>
      <c r="B5" s="1">
        <v>1001</v>
      </c>
      <c r="C5" s="1" t="s">
        <v>89</v>
      </c>
      <c r="D5" s="1" t="s">
        <v>90</v>
      </c>
      <c r="E5" s="1" t="s">
        <v>8</v>
      </c>
      <c r="F5" s="1">
        <v>5</v>
      </c>
      <c r="G5" s="1"/>
      <c r="H5" s="1"/>
      <c r="I5" s="1"/>
      <c r="J5" s="1"/>
      <c r="K5" s="1"/>
      <c r="L5" s="1"/>
      <c r="M5" s="1"/>
      <c r="N5" s="1"/>
      <c r="O5" s="1" t="s">
        <v>91</v>
      </c>
      <c r="P5" s="1">
        <v>999</v>
      </c>
      <c r="Q5" s="1" t="b">
        <v>0</v>
      </c>
      <c r="R5" s="1"/>
      <c r="S5" s="1" t="s">
        <v>92</v>
      </c>
      <c r="T5" s="1" t="s">
        <v>93</v>
      </c>
      <c r="U5" s="1" t="b">
        <v>1</v>
      </c>
      <c r="V5" s="1" t="s">
        <v>94</v>
      </c>
    </row>
    <row r="6" spans="1:22" ht="30" customHeight="1" x14ac:dyDescent="0.25">
      <c r="A6" s="1"/>
      <c r="B6" s="1">
        <v>1002</v>
      </c>
      <c r="C6" s="1" t="s">
        <v>95</v>
      </c>
      <c r="D6" s="1" t="s">
        <v>90</v>
      </c>
      <c r="E6" s="1" t="s">
        <v>8</v>
      </c>
      <c r="F6" s="1">
        <v>10</v>
      </c>
      <c r="G6" s="1"/>
      <c r="H6" s="1"/>
      <c r="I6" s="1"/>
      <c r="J6" s="1"/>
      <c r="K6" s="1"/>
      <c r="L6" s="1"/>
      <c r="M6" s="1"/>
      <c r="N6" s="1"/>
      <c r="O6" s="1" t="s">
        <v>91</v>
      </c>
      <c r="P6" s="1">
        <v>999</v>
      </c>
      <c r="Q6" s="1" t="b">
        <v>0</v>
      </c>
      <c r="R6" s="1"/>
      <c r="S6" s="1" t="s">
        <v>92</v>
      </c>
      <c r="T6" s="1" t="s">
        <v>93</v>
      </c>
      <c r="U6" s="1" t="b">
        <v>1</v>
      </c>
      <c r="V6" s="1" t="s">
        <v>94</v>
      </c>
    </row>
    <row r="7" spans="1:22" ht="30" customHeight="1" x14ac:dyDescent="0.25">
      <c r="A7" s="1"/>
      <c r="B7" s="1">
        <v>1003</v>
      </c>
      <c r="C7" s="1" t="s">
        <v>96</v>
      </c>
      <c r="D7" s="1" t="s">
        <v>90</v>
      </c>
      <c r="E7" s="1" t="s">
        <v>8</v>
      </c>
      <c r="F7" s="1">
        <v>15</v>
      </c>
      <c r="G7" s="1"/>
      <c r="H7" s="1"/>
      <c r="I7" s="1"/>
      <c r="J7" s="1"/>
      <c r="K7" s="1"/>
      <c r="L7" s="1"/>
      <c r="M7" s="1"/>
      <c r="N7" s="1"/>
      <c r="O7" s="1" t="s">
        <v>91</v>
      </c>
      <c r="P7" s="1">
        <v>999</v>
      </c>
      <c r="Q7" s="1" t="b">
        <v>0</v>
      </c>
      <c r="R7" s="1"/>
      <c r="S7" s="1" t="s">
        <v>92</v>
      </c>
      <c r="T7" s="1" t="s">
        <v>93</v>
      </c>
      <c r="U7" s="1" t="b">
        <v>1</v>
      </c>
      <c r="V7" s="1" t="s">
        <v>94</v>
      </c>
    </row>
    <row r="8" spans="1:22" ht="30" customHeight="1" x14ac:dyDescent="0.25">
      <c r="A8" s="1"/>
      <c r="B8" s="1">
        <v>1004</v>
      </c>
      <c r="C8" s="1" t="s">
        <v>97</v>
      </c>
      <c r="D8" s="1" t="s">
        <v>90</v>
      </c>
      <c r="E8" s="1" t="s">
        <v>8</v>
      </c>
      <c r="F8" s="1">
        <v>20</v>
      </c>
      <c r="G8" s="1"/>
      <c r="H8" s="1"/>
      <c r="I8" s="1"/>
      <c r="J8" s="1"/>
      <c r="K8" s="1"/>
      <c r="L8" s="1"/>
      <c r="M8" s="1"/>
      <c r="N8" s="1"/>
      <c r="O8" s="1" t="s">
        <v>91</v>
      </c>
      <c r="P8" s="1">
        <v>999</v>
      </c>
      <c r="Q8" s="1" t="b">
        <v>0</v>
      </c>
      <c r="R8" s="1"/>
      <c r="S8" s="1" t="s">
        <v>92</v>
      </c>
      <c r="T8" s="1" t="s">
        <v>93</v>
      </c>
      <c r="U8" s="1" t="b">
        <v>1</v>
      </c>
      <c r="V8" s="1" t="s">
        <v>94</v>
      </c>
    </row>
    <row r="9" spans="1:22" ht="30" customHeight="1" x14ac:dyDescent="0.25">
      <c r="A9" s="1"/>
      <c r="B9" s="1">
        <v>2001</v>
      </c>
      <c r="C9" s="1" t="s">
        <v>98</v>
      </c>
      <c r="D9" s="1" t="s">
        <v>90</v>
      </c>
      <c r="E9" s="1" t="s">
        <v>16</v>
      </c>
      <c r="F9" s="1">
        <v>1.05</v>
      </c>
      <c r="G9" s="1"/>
      <c r="H9" s="1"/>
      <c r="I9" s="1"/>
      <c r="J9" s="1"/>
      <c r="K9" s="1"/>
      <c r="L9" s="1"/>
      <c r="M9" s="1"/>
      <c r="N9" s="1"/>
      <c r="O9" s="1" t="s">
        <v>91</v>
      </c>
      <c r="P9" s="1">
        <v>999</v>
      </c>
      <c r="Q9" s="1" t="b">
        <v>0</v>
      </c>
      <c r="R9" s="1"/>
      <c r="S9" s="1" t="s">
        <v>92</v>
      </c>
      <c r="T9" s="1" t="s">
        <v>93</v>
      </c>
      <c r="U9" s="1" t="b">
        <v>1</v>
      </c>
      <c r="V9" s="1" t="s">
        <v>94</v>
      </c>
    </row>
    <row r="10" spans="1:22" ht="30" customHeight="1" x14ac:dyDescent="0.25">
      <c r="A10" s="1"/>
      <c r="B10" s="1">
        <v>2002</v>
      </c>
      <c r="C10" s="1" t="s">
        <v>99</v>
      </c>
      <c r="D10" s="1" t="s">
        <v>90</v>
      </c>
      <c r="E10" s="1" t="s">
        <v>16</v>
      </c>
      <c r="F10" s="1">
        <v>1.1000000000000001</v>
      </c>
      <c r="G10" s="1"/>
      <c r="H10" s="1"/>
      <c r="I10" s="1"/>
      <c r="J10" s="1"/>
      <c r="K10" s="1"/>
      <c r="L10" s="1"/>
      <c r="M10" s="1"/>
      <c r="N10" s="1"/>
      <c r="O10" s="1" t="s">
        <v>91</v>
      </c>
      <c r="P10" s="1">
        <v>999</v>
      </c>
      <c r="Q10" s="1" t="b">
        <v>0</v>
      </c>
      <c r="R10" s="1"/>
      <c r="S10" s="1" t="s">
        <v>92</v>
      </c>
      <c r="T10" s="1" t="s">
        <v>93</v>
      </c>
      <c r="U10" s="1" t="b">
        <v>1</v>
      </c>
      <c r="V10" s="1" t="s">
        <v>94</v>
      </c>
    </row>
    <row r="11" spans="1:22" ht="30" customHeight="1" x14ac:dyDescent="0.25">
      <c r="A11" s="1"/>
      <c r="B11" s="1">
        <v>2003</v>
      </c>
      <c r="C11" s="1" t="s">
        <v>100</v>
      </c>
      <c r="D11" s="1" t="s">
        <v>90</v>
      </c>
      <c r="E11" s="1" t="s">
        <v>16</v>
      </c>
      <c r="F11" s="1">
        <v>1.1499999999999999</v>
      </c>
      <c r="G11" s="1"/>
      <c r="H11" s="1"/>
      <c r="I11" s="1"/>
      <c r="J11" s="1"/>
      <c r="K11" s="1"/>
      <c r="L11" s="1"/>
      <c r="M11" s="1"/>
      <c r="N11" s="1"/>
      <c r="O11" s="1" t="s">
        <v>91</v>
      </c>
      <c r="P11" s="1">
        <v>999</v>
      </c>
      <c r="Q11" s="1" t="b">
        <v>0</v>
      </c>
      <c r="R11" s="1"/>
      <c r="S11" s="1" t="s">
        <v>92</v>
      </c>
      <c r="T11" s="1" t="s">
        <v>93</v>
      </c>
      <c r="U11" s="1" t="b">
        <v>1</v>
      </c>
      <c r="V11" s="1" t="s">
        <v>101</v>
      </c>
    </row>
    <row r="12" spans="1:22" ht="30" customHeight="1" x14ac:dyDescent="0.25">
      <c r="A12" s="1"/>
      <c r="B12" s="1">
        <v>2004</v>
      </c>
      <c r="C12" s="1" t="s">
        <v>102</v>
      </c>
      <c r="D12" s="1" t="s">
        <v>90</v>
      </c>
      <c r="E12" s="1" t="s">
        <v>16</v>
      </c>
      <c r="F12" s="1">
        <v>1.2</v>
      </c>
      <c r="G12" s="1"/>
      <c r="H12" s="1"/>
      <c r="I12" s="1"/>
      <c r="J12" s="1"/>
      <c r="K12" s="1"/>
      <c r="L12" s="1"/>
      <c r="M12" s="1"/>
      <c r="N12" s="1"/>
      <c r="O12" s="1" t="s">
        <v>91</v>
      </c>
      <c r="P12" s="1">
        <v>999</v>
      </c>
      <c r="Q12" s="1" t="b">
        <v>0</v>
      </c>
      <c r="R12" s="1"/>
      <c r="S12" s="1" t="s">
        <v>92</v>
      </c>
      <c r="T12" s="1" t="s">
        <v>93</v>
      </c>
      <c r="U12" s="1" t="b">
        <v>1</v>
      </c>
      <c r="V12" s="1" t="s">
        <v>103</v>
      </c>
    </row>
    <row r="13" spans="1:22" ht="30" customHeight="1" x14ac:dyDescent="0.25">
      <c r="A13" s="1"/>
      <c r="B13" s="1">
        <v>2010</v>
      </c>
      <c r="C13" s="1" t="s">
        <v>104</v>
      </c>
      <c r="D13" s="1" t="s">
        <v>90</v>
      </c>
      <c r="E13" s="1" t="s">
        <v>16</v>
      </c>
      <c r="F13" s="1">
        <v>3</v>
      </c>
      <c r="G13" s="1" t="s">
        <v>105</v>
      </c>
      <c r="H13" s="1"/>
      <c r="I13" s="1"/>
      <c r="J13" s="1"/>
      <c r="K13" s="1"/>
      <c r="L13" s="1"/>
      <c r="M13" s="1"/>
      <c r="N13" s="1"/>
      <c r="O13" s="1" t="s">
        <v>91</v>
      </c>
      <c r="P13" s="1">
        <v>1</v>
      </c>
      <c r="Q13" s="1" t="b">
        <v>1</v>
      </c>
      <c r="R13" s="1"/>
      <c r="S13" s="1" t="s">
        <v>92</v>
      </c>
      <c r="T13" s="1" t="s">
        <v>93</v>
      </c>
      <c r="U13" s="1" t="b">
        <v>1</v>
      </c>
      <c r="V13" s="1" t="s">
        <v>106</v>
      </c>
    </row>
    <row r="14" spans="1:22" ht="30" customHeight="1" x14ac:dyDescent="0.25">
      <c r="A14" s="1"/>
      <c r="B14" s="1">
        <v>3001</v>
      </c>
      <c r="C14" s="1" t="s">
        <v>107</v>
      </c>
      <c r="D14" s="1" t="s">
        <v>108</v>
      </c>
      <c r="E14" s="1" t="s">
        <v>8</v>
      </c>
      <c r="F14" s="1">
        <v>0.1</v>
      </c>
      <c r="G14" s="1"/>
      <c r="H14" s="1"/>
      <c r="I14" s="1"/>
      <c r="J14" s="1"/>
      <c r="K14" s="1"/>
      <c r="L14" s="1"/>
      <c r="M14" s="1"/>
      <c r="N14" s="1"/>
      <c r="O14" s="1" t="s">
        <v>91</v>
      </c>
      <c r="P14" s="1">
        <v>999</v>
      </c>
      <c r="Q14" s="1" t="b">
        <v>0</v>
      </c>
      <c r="R14" s="1"/>
      <c r="S14" s="1" t="s">
        <v>109</v>
      </c>
      <c r="T14" s="1" t="s">
        <v>110</v>
      </c>
      <c r="U14" s="1" t="b">
        <v>1</v>
      </c>
      <c r="V14" s="1" t="s">
        <v>111</v>
      </c>
    </row>
    <row r="15" spans="1:22" ht="30" customHeight="1" x14ac:dyDescent="0.25">
      <c r="A15" s="1"/>
      <c r="B15" s="1">
        <v>3002</v>
      </c>
      <c r="C15" s="1" t="s">
        <v>112</v>
      </c>
      <c r="D15" s="1" t="s">
        <v>108</v>
      </c>
      <c r="E15" s="1" t="s">
        <v>8</v>
      </c>
      <c r="F15" s="1">
        <v>0.2</v>
      </c>
      <c r="G15" s="1"/>
      <c r="H15" s="1"/>
      <c r="I15" s="1"/>
      <c r="J15" s="1"/>
      <c r="K15" s="1"/>
      <c r="L15" s="1"/>
      <c r="M15" s="1"/>
      <c r="N15" s="1"/>
      <c r="O15" s="1" t="s">
        <v>91</v>
      </c>
      <c r="P15" s="1">
        <v>999</v>
      </c>
      <c r="Q15" s="1" t="b">
        <v>0</v>
      </c>
      <c r="R15" s="1"/>
      <c r="S15" s="1" t="s">
        <v>109</v>
      </c>
      <c r="T15" s="1" t="s">
        <v>110</v>
      </c>
      <c r="U15" s="1" t="b">
        <v>1</v>
      </c>
      <c r="V15" s="1" t="s">
        <v>113</v>
      </c>
    </row>
    <row r="16" spans="1:22" ht="30" customHeight="1" x14ac:dyDescent="0.25">
      <c r="A16" s="1"/>
      <c r="B16" s="1">
        <v>3003</v>
      </c>
      <c r="C16" s="1" t="s">
        <v>114</v>
      </c>
      <c r="D16" s="1" t="s">
        <v>108</v>
      </c>
      <c r="E16" s="1" t="s">
        <v>8</v>
      </c>
      <c r="F16" s="1">
        <v>0.3</v>
      </c>
      <c r="G16" s="1"/>
      <c r="H16" s="1"/>
      <c r="I16" s="1"/>
      <c r="J16" s="1"/>
      <c r="K16" s="1"/>
      <c r="L16" s="1"/>
      <c r="M16" s="1"/>
      <c r="N16" s="1"/>
      <c r="O16" s="1" t="s">
        <v>91</v>
      </c>
      <c r="P16" s="1">
        <v>999</v>
      </c>
      <c r="Q16" s="1" t="b">
        <v>0</v>
      </c>
      <c r="R16" s="1"/>
      <c r="S16" s="1" t="s">
        <v>109</v>
      </c>
      <c r="T16" s="1" t="s">
        <v>110</v>
      </c>
      <c r="U16" s="1" t="b">
        <v>1</v>
      </c>
      <c r="V16" s="1" t="s">
        <v>115</v>
      </c>
    </row>
    <row r="17" spans="1:22" ht="30" customHeight="1" x14ac:dyDescent="0.25">
      <c r="A17" s="1"/>
      <c r="B17" s="1">
        <v>3004</v>
      </c>
      <c r="C17" s="1" t="s">
        <v>116</v>
      </c>
      <c r="D17" s="1" t="s">
        <v>108</v>
      </c>
      <c r="E17" s="1" t="s">
        <v>8</v>
      </c>
      <c r="F17" s="1">
        <v>0.4</v>
      </c>
      <c r="G17" s="1"/>
      <c r="H17" s="1"/>
      <c r="I17" s="1"/>
      <c r="J17" s="1"/>
      <c r="K17" s="1"/>
      <c r="L17" s="1"/>
      <c r="M17" s="1"/>
      <c r="N17" s="1"/>
      <c r="O17" s="1" t="s">
        <v>91</v>
      </c>
      <c r="P17" s="1">
        <v>999</v>
      </c>
      <c r="Q17" s="1" t="b">
        <v>0</v>
      </c>
      <c r="R17" s="1"/>
      <c r="S17" s="1" t="s">
        <v>109</v>
      </c>
      <c r="T17" s="1" t="s">
        <v>110</v>
      </c>
      <c r="U17" s="1" t="b">
        <v>1</v>
      </c>
      <c r="V17" s="1" t="s">
        <v>117</v>
      </c>
    </row>
    <row r="18" spans="1:22" ht="30" customHeight="1" x14ac:dyDescent="0.25">
      <c r="A18" s="1"/>
      <c r="B18" s="1">
        <v>3010</v>
      </c>
      <c r="C18" s="1" t="s">
        <v>118</v>
      </c>
      <c r="D18" s="1" t="s">
        <v>108</v>
      </c>
      <c r="E18" s="1" t="s">
        <v>8</v>
      </c>
      <c r="F18" s="1">
        <v>10</v>
      </c>
      <c r="G18" s="1" t="s">
        <v>105</v>
      </c>
      <c r="H18" s="1"/>
      <c r="I18" s="1"/>
      <c r="J18" s="1"/>
      <c r="K18" s="1"/>
      <c r="L18" s="1"/>
      <c r="M18" s="1"/>
      <c r="N18" s="1"/>
      <c r="O18" s="1" t="s">
        <v>91</v>
      </c>
      <c r="P18" s="1">
        <v>1</v>
      </c>
      <c r="Q18" s="1" t="b">
        <v>1</v>
      </c>
      <c r="R18" s="1"/>
      <c r="S18" s="1" t="s">
        <v>109</v>
      </c>
      <c r="T18" s="1" t="s">
        <v>110</v>
      </c>
      <c r="U18" s="1" t="b">
        <v>1</v>
      </c>
      <c r="V18" s="1" t="s">
        <v>119</v>
      </c>
    </row>
    <row r="19" spans="1:22" x14ac:dyDescent="0.25">
      <c r="A19" s="1"/>
      <c r="B19" s="1">
        <v>4001</v>
      </c>
      <c r="C19" s="1" t="s">
        <v>120</v>
      </c>
      <c r="D19" s="1" t="s">
        <v>20</v>
      </c>
      <c r="E19" s="1" t="s">
        <v>8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 t="s">
        <v>91</v>
      </c>
      <c r="P19" s="1">
        <v>999</v>
      </c>
      <c r="Q19" s="1" t="b">
        <v>0</v>
      </c>
      <c r="R19" s="1"/>
      <c r="S19" s="1" t="s">
        <v>121</v>
      </c>
      <c r="T19" s="1" t="s">
        <v>122</v>
      </c>
      <c r="U19" s="1" t="b">
        <v>1</v>
      </c>
      <c r="V19" s="1" t="s">
        <v>123</v>
      </c>
    </row>
    <row r="20" spans="1:22" x14ac:dyDescent="0.25">
      <c r="A20" s="1"/>
      <c r="B20" s="1">
        <v>4002</v>
      </c>
      <c r="C20" s="1" t="s">
        <v>124</v>
      </c>
      <c r="D20" s="1" t="s">
        <v>20</v>
      </c>
      <c r="E20" s="1" t="s">
        <v>8</v>
      </c>
      <c r="F20" s="1">
        <v>2</v>
      </c>
      <c r="G20" s="1"/>
      <c r="H20" s="1"/>
      <c r="I20" s="1"/>
      <c r="J20" s="1"/>
      <c r="K20" s="1"/>
      <c r="L20" s="1"/>
      <c r="M20" s="1"/>
      <c r="N20" s="1"/>
      <c r="O20" s="1" t="s">
        <v>91</v>
      </c>
      <c r="P20" s="1">
        <v>999</v>
      </c>
      <c r="Q20" s="1" t="b">
        <v>0</v>
      </c>
      <c r="R20" s="1"/>
      <c r="S20" s="1" t="s">
        <v>121</v>
      </c>
      <c r="T20" s="1" t="s">
        <v>122</v>
      </c>
      <c r="U20" s="1" t="b">
        <v>1</v>
      </c>
      <c r="V20" s="1" t="s">
        <v>125</v>
      </c>
    </row>
    <row r="21" spans="1:22" x14ac:dyDescent="0.25">
      <c r="A21" s="1"/>
      <c r="B21" s="1">
        <v>4003</v>
      </c>
      <c r="C21" s="1" t="s">
        <v>126</v>
      </c>
      <c r="D21" s="1" t="s">
        <v>20</v>
      </c>
      <c r="E21" s="1" t="s">
        <v>8</v>
      </c>
      <c r="F21" s="1">
        <v>999</v>
      </c>
      <c r="G21" s="1"/>
      <c r="H21" s="1"/>
      <c r="I21" s="1"/>
      <c r="J21" s="1"/>
      <c r="K21" s="1"/>
      <c r="L21" s="1"/>
      <c r="M21" s="1"/>
      <c r="N21" s="1"/>
      <c r="O21" s="1" t="s">
        <v>91</v>
      </c>
      <c r="P21" s="1">
        <v>999</v>
      </c>
      <c r="Q21" s="1" t="b">
        <v>0</v>
      </c>
      <c r="R21" s="1"/>
      <c r="S21" s="1" t="s">
        <v>121</v>
      </c>
      <c r="T21" s="1" t="s">
        <v>122</v>
      </c>
      <c r="U21" s="1" t="b">
        <v>1</v>
      </c>
      <c r="V21" s="1" t="s">
        <v>127</v>
      </c>
    </row>
    <row r="22" spans="1:22" x14ac:dyDescent="0.25">
      <c r="A22" s="1"/>
      <c r="B22" s="1">
        <v>5001</v>
      </c>
      <c r="C22" s="1" t="s">
        <v>128</v>
      </c>
      <c r="D22" s="1" t="s">
        <v>26</v>
      </c>
      <c r="E22" s="1" t="s">
        <v>8</v>
      </c>
      <c r="F22" s="1">
        <v>25</v>
      </c>
      <c r="G22" s="1"/>
      <c r="H22" s="1"/>
      <c r="I22" s="1"/>
      <c r="J22" s="1"/>
      <c r="K22" s="1"/>
      <c r="L22" s="1"/>
      <c r="M22" s="1"/>
      <c r="N22" s="1"/>
      <c r="O22" s="1" t="s">
        <v>91</v>
      </c>
      <c r="P22" s="1">
        <v>999</v>
      </c>
      <c r="Q22" s="1" t="b">
        <v>0</v>
      </c>
      <c r="R22" s="1"/>
      <c r="S22" s="1" t="s">
        <v>26</v>
      </c>
      <c r="T22" s="1" t="s">
        <v>129</v>
      </c>
      <c r="U22" s="1" t="b">
        <v>1</v>
      </c>
      <c r="V22" s="1" t="s">
        <v>130</v>
      </c>
    </row>
    <row r="23" spans="1:22" x14ac:dyDescent="0.25">
      <c r="A23" s="1"/>
      <c r="B23" s="1">
        <v>5002</v>
      </c>
      <c r="C23" s="1" t="s">
        <v>131</v>
      </c>
      <c r="D23" s="1" t="s">
        <v>26</v>
      </c>
      <c r="E23" s="1" t="s">
        <v>8</v>
      </c>
      <c r="F23" s="1">
        <v>50</v>
      </c>
      <c r="G23" s="1"/>
      <c r="H23" s="1"/>
      <c r="I23" s="1"/>
      <c r="J23" s="1"/>
      <c r="K23" s="1"/>
      <c r="L23" s="1"/>
      <c r="M23" s="1"/>
      <c r="N23" s="1"/>
      <c r="O23" s="1" t="s">
        <v>91</v>
      </c>
      <c r="P23" s="1">
        <v>999</v>
      </c>
      <c r="Q23" s="1" t="b">
        <v>0</v>
      </c>
      <c r="R23" s="1"/>
      <c r="S23" s="1" t="s">
        <v>26</v>
      </c>
      <c r="T23" s="1" t="s">
        <v>129</v>
      </c>
      <c r="U23" s="1" t="b">
        <v>1</v>
      </c>
      <c r="V23" s="1" t="s">
        <v>132</v>
      </c>
    </row>
    <row r="24" spans="1:22" x14ac:dyDescent="0.25">
      <c r="A24" s="1"/>
      <c r="B24" s="1">
        <v>5003</v>
      </c>
      <c r="C24" s="1" t="s">
        <v>133</v>
      </c>
      <c r="D24" s="1" t="s">
        <v>26</v>
      </c>
      <c r="E24" s="1" t="s">
        <v>8</v>
      </c>
      <c r="F24" s="1">
        <v>75</v>
      </c>
      <c r="G24" s="1"/>
      <c r="H24" s="1"/>
      <c r="I24" s="1"/>
      <c r="J24" s="1"/>
      <c r="K24" s="1"/>
      <c r="L24" s="1"/>
      <c r="M24" s="1"/>
      <c r="N24" s="1"/>
      <c r="O24" s="1" t="s">
        <v>91</v>
      </c>
      <c r="P24" s="1">
        <v>999</v>
      </c>
      <c r="Q24" s="1" t="b">
        <v>0</v>
      </c>
      <c r="R24" s="1"/>
      <c r="S24" s="1" t="s">
        <v>26</v>
      </c>
      <c r="T24" s="1" t="s">
        <v>129</v>
      </c>
      <c r="U24" s="1" t="b">
        <v>1</v>
      </c>
      <c r="V24" s="1" t="s">
        <v>134</v>
      </c>
    </row>
    <row r="25" spans="1:22" x14ac:dyDescent="0.25">
      <c r="A25" s="1"/>
      <c r="B25" s="1">
        <v>5004</v>
      </c>
      <c r="C25" s="1" t="s">
        <v>135</v>
      </c>
      <c r="D25" s="1" t="s">
        <v>26</v>
      </c>
      <c r="E25" s="1" t="s">
        <v>8</v>
      </c>
      <c r="F25" s="1">
        <v>100</v>
      </c>
      <c r="G25" s="1"/>
      <c r="H25" s="1"/>
      <c r="I25" s="1"/>
      <c r="J25" s="1"/>
      <c r="K25" s="1"/>
      <c r="L25" s="1"/>
      <c r="M25" s="1"/>
      <c r="N25" s="1"/>
      <c r="O25" s="1" t="s">
        <v>91</v>
      </c>
      <c r="P25" s="1">
        <v>999</v>
      </c>
      <c r="Q25" s="1" t="b">
        <v>0</v>
      </c>
      <c r="R25" s="1"/>
      <c r="S25" s="1" t="s">
        <v>26</v>
      </c>
      <c r="T25" s="1" t="s">
        <v>129</v>
      </c>
      <c r="U25" s="1" t="b">
        <v>1</v>
      </c>
      <c r="V25" s="1" t="s">
        <v>136</v>
      </c>
    </row>
    <row r="26" spans="1:22" x14ac:dyDescent="0.25">
      <c r="A26" s="1"/>
      <c r="B26" s="1">
        <v>5010</v>
      </c>
      <c r="C26" s="1" t="s">
        <v>137</v>
      </c>
      <c r="D26" s="1" t="s">
        <v>26</v>
      </c>
      <c r="E26" s="1" t="s">
        <v>8</v>
      </c>
      <c r="F26" s="1">
        <v>10</v>
      </c>
      <c r="G26" s="1" t="s">
        <v>105</v>
      </c>
      <c r="H26" s="1"/>
      <c r="I26" s="1"/>
      <c r="J26" s="1"/>
      <c r="K26" s="1"/>
      <c r="L26" s="1"/>
      <c r="M26" s="1"/>
      <c r="N26" s="1"/>
      <c r="O26" s="1" t="s">
        <v>91</v>
      </c>
      <c r="P26" s="1">
        <v>1</v>
      </c>
      <c r="Q26" s="1" t="b">
        <v>1</v>
      </c>
      <c r="R26" s="1"/>
      <c r="S26" s="1" t="s">
        <v>26</v>
      </c>
      <c r="T26" s="1" t="s">
        <v>129</v>
      </c>
      <c r="U26" s="1" t="b">
        <v>1</v>
      </c>
      <c r="V26" s="1" t="s">
        <v>138</v>
      </c>
    </row>
    <row r="27" spans="1:22" x14ac:dyDescent="0.25">
      <c r="A27" s="1"/>
      <c r="B27" s="1">
        <v>6001</v>
      </c>
      <c r="C27" s="1" t="s">
        <v>139</v>
      </c>
      <c r="D27" s="1"/>
      <c r="E27" s="1"/>
      <c r="F27" s="1">
        <v>1</v>
      </c>
      <c r="G27" s="1"/>
      <c r="H27" s="1"/>
      <c r="I27" s="1"/>
      <c r="J27" s="1"/>
      <c r="K27" s="1"/>
      <c r="L27" s="1"/>
      <c r="M27" s="1"/>
      <c r="N27" s="1" t="s">
        <v>140</v>
      </c>
      <c r="O27" s="1" t="s">
        <v>141</v>
      </c>
      <c r="P27" s="1">
        <v>1</v>
      </c>
      <c r="Q27" s="1" t="b">
        <v>1</v>
      </c>
      <c r="R27" s="1" t="s">
        <v>142</v>
      </c>
      <c r="S27" s="1" t="s">
        <v>143</v>
      </c>
      <c r="T27" s="1" t="s">
        <v>144</v>
      </c>
      <c r="U27" s="1" t="b">
        <v>0</v>
      </c>
      <c r="V27" s="1" t="s">
        <v>145</v>
      </c>
    </row>
    <row r="28" spans="1:22" x14ac:dyDescent="0.25">
      <c r="A28" s="1"/>
      <c r="B28" s="1">
        <v>6002</v>
      </c>
      <c r="C28" s="1" t="s">
        <v>146</v>
      </c>
      <c r="D28" s="1"/>
      <c r="E28" s="1"/>
      <c r="F28" s="1">
        <v>2</v>
      </c>
      <c r="G28" s="1"/>
      <c r="H28" s="1"/>
      <c r="I28" s="1"/>
      <c r="J28" s="1"/>
      <c r="K28" s="1"/>
      <c r="L28" s="1"/>
      <c r="M28" s="1"/>
      <c r="N28" s="1" t="s">
        <v>140</v>
      </c>
      <c r="O28" s="1" t="s">
        <v>147</v>
      </c>
      <c r="P28" s="1">
        <v>1</v>
      </c>
      <c r="Q28" s="1" t="b">
        <v>1</v>
      </c>
      <c r="R28" s="1" t="s">
        <v>148</v>
      </c>
      <c r="S28" s="1" t="s">
        <v>149</v>
      </c>
      <c r="T28" s="1" t="s">
        <v>144</v>
      </c>
      <c r="U28" s="1" t="b">
        <v>0</v>
      </c>
      <c r="V28" s="1" t="s">
        <v>150</v>
      </c>
    </row>
    <row r="29" spans="1:22" x14ac:dyDescent="0.25">
      <c r="A29" s="1"/>
      <c r="B29" s="1">
        <v>6003</v>
      </c>
      <c r="C29" s="1" t="s">
        <v>151</v>
      </c>
      <c r="D29" s="1"/>
      <c r="E29" s="1"/>
      <c r="F29" s="1">
        <v>3</v>
      </c>
      <c r="G29" s="1"/>
      <c r="H29" s="1"/>
      <c r="I29" s="1"/>
      <c r="J29" s="1"/>
      <c r="K29" s="1"/>
      <c r="L29" s="1"/>
      <c r="M29" s="1"/>
      <c r="N29" s="1" t="s">
        <v>140</v>
      </c>
      <c r="O29" s="1" t="s">
        <v>152</v>
      </c>
      <c r="P29" s="1">
        <v>1</v>
      </c>
      <c r="Q29" s="1" t="b">
        <v>1</v>
      </c>
      <c r="R29" s="1" t="s">
        <v>153</v>
      </c>
      <c r="S29" s="1" t="s">
        <v>154</v>
      </c>
      <c r="T29" s="1" t="s">
        <v>144</v>
      </c>
      <c r="U29" s="1" t="b">
        <v>0</v>
      </c>
      <c r="V29" s="1" t="s">
        <v>155</v>
      </c>
    </row>
    <row r="30" spans="1:22" x14ac:dyDescent="0.25">
      <c r="A30" s="1"/>
      <c r="B30" s="1">
        <v>6004</v>
      </c>
      <c r="C30" s="1" t="s">
        <v>156</v>
      </c>
      <c r="D30" s="1"/>
      <c r="E30" s="1"/>
      <c r="F30" s="1">
        <v>4</v>
      </c>
      <c r="G30" s="1"/>
      <c r="H30" s="1"/>
      <c r="I30" s="1"/>
      <c r="J30" s="1"/>
      <c r="K30" s="1"/>
      <c r="L30" s="1"/>
      <c r="M30" s="1"/>
      <c r="N30" s="1" t="s">
        <v>140</v>
      </c>
      <c r="O30" s="1" t="s">
        <v>157</v>
      </c>
      <c r="P30" s="1">
        <v>1</v>
      </c>
      <c r="Q30" s="1" t="b">
        <v>1</v>
      </c>
      <c r="R30" s="1" t="s">
        <v>158</v>
      </c>
      <c r="S30" s="1" t="s">
        <v>159</v>
      </c>
      <c r="T30" s="1" t="s">
        <v>144</v>
      </c>
      <c r="U30" s="1" t="b">
        <v>0</v>
      </c>
      <c r="V30" s="1" t="s">
        <v>160</v>
      </c>
    </row>
    <row r="31" spans="1:22" x14ac:dyDescent="0.25">
      <c r="A31" s="1"/>
      <c r="B31" s="1">
        <v>8001</v>
      </c>
      <c r="C31" s="1" t="s">
        <v>161</v>
      </c>
      <c r="D31" s="1" t="s">
        <v>108</v>
      </c>
      <c r="E31" s="1" t="s">
        <v>8</v>
      </c>
      <c r="F31" s="1">
        <v>1</v>
      </c>
      <c r="G31" s="1"/>
      <c r="H31" s="1"/>
      <c r="I31" s="1"/>
      <c r="J31" s="1"/>
      <c r="K31" s="1"/>
      <c r="L31" s="1"/>
      <c r="M31" s="1"/>
      <c r="N31" s="1"/>
      <c r="O31" s="1" t="s">
        <v>91</v>
      </c>
      <c r="P31" s="1">
        <v>4</v>
      </c>
      <c r="Q31" s="1" t="b">
        <v>1</v>
      </c>
      <c r="R31" s="1"/>
      <c r="S31" s="1"/>
      <c r="T31" s="1"/>
      <c r="U31" s="1" t="b">
        <v>0</v>
      </c>
      <c r="V31" s="1"/>
    </row>
    <row r="32" spans="1:22" ht="30" customHeight="1" x14ac:dyDescent="0.25">
      <c r="A32" s="1"/>
      <c r="B32" s="1">
        <v>9001</v>
      </c>
      <c r="C32" s="1" t="s">
        <v>162</v>
      </c>
      <c r="D32" s="1"/>
      <c r="E32" s="1"/>
      <c r="F32" s="1">
        <v>15</v>
      </c>
      <c r="G32" s="1" t="s">
        <v>163</v>
      </c>
      <c r="H32" s="1">
        <v>3</v>
      </c>
      <c r="I32" s="1" t="s">
        <v>164</v>
      </c>
      <c r="J32" s="1">
        <v>1</v>
      </c>
      <c r="K32" s="1" t="s">
        <v>165</v>
      </c>
      <c r="L32" s="1">
        <v>1</v>
      </c>
      <c r="M32" s="1" t="s">
        <v>166</v>
      </c>
      <c r="N32" s="1" t="s">
        <v>17</v>
      </c>
      <c r="O32" s="1" t="s">
        <v>167</v>
      </c>
      <c r="P32" s="1">
        <v>1</v>
      </c>
      <c r="Q32" s="1" t="b">
        <v>1</v>
      </c>
      <c r="R32" s="1"/>
      <c r="S32" s="1" t="s">
        <v>38</v>
      </c>
      <c r="T32" s="1" t="s">
        <v>168</v>
      </c>
      <c r="U32" s="1" t="b">
        <v>0</v>
      </c>
      <c r="V32" s="1" t="s">
        <v>169</v>
      </c>
    </row>
    <row r="33" spans="1:22" ht="45" customHeight="1" x14ac:dyDescent="0.25">
      <c r="A33" s="1"/>
      <c r="B33" s="1">
        <v>9011</v>
      </c>
      <c r="C33" s="1" t="s">
        <v>170</v>
      </c>
      <c r="D33" s="1"/>
      <c r="E33" s="1"/>
      <c r="F33" s="1">
        <v>3</v>
      </c>
      <c r="G33" s="1" t="s">
        <v>171</v>
      </c>
      <c r="H33" s="1">
        <v>5</v>
      </c>
      <c r="I33" s="1" t="s">
        <v>172</v>
      </c>
      <c r="J33" s="1">
        <v>3</v>
      </c>
      <c r="K33" s="1" t="s">
        <v>173</v>
      </c>
      <c r="L33" s="1"/>
      <c r="M33" s="1"/>
      <c r="N33" s="1" t="s">
        <v>34</v>
      </c>
      <c r="O33" s="1" t="s">
        <v>174</v>
      </c>
      <c r="P33" s="1">
        <v>1</v>
      </c>
      <c r="Q33" s="1" t="b">
        <v>1</v>
      </c>
      <c r="R33" s="1" t="s">
        <v>175</v>
      </c>
      <c r="S33" s="1" t="s">
        <v>176</v>
      </c>
      <c r="T33" s="1" t="s">
        <v>177</v>
      </c>
      <c r="U33" s="1" t="b">
        <v>0</v>
      </c>
      <c r="V33" s="1" t="s">
        <v>178</v>
      </c>
    </row>
    <row r="34" spans="1:22" ht="45" customHeight="1" x14ac:dyDescent="0.25">
      <c r="A34" s="1"/>
      <c r="B34" s="1">
        <v>9012</v>
      </c>
      <c r="C34" s="1" t="s">
        <v>179</v>
      </c>
      <c r="D34" s="1"/>
      <c r="E34" s="1"/>
      <c r="F34" s="1">
        <v>3</v>
      </c>
      <c r="G34" s="1" t="s">
        <v>171</v>
      </c>
      <c r="H34" s="1">
        <v>10</v>
      </c>
      <c r="I34" s="1" t="s">
        <v>172</v>
      </c>
      <c r="J34" s="1">
        <v>3</v>
      </c>
      <c r="K34" s="1" t="s">
        <v>173</v>
      </c>
      <c r="L34" s="1">
        <v>10</v>
      </c>
      <c r="M34" s="1"/>
      <c r="N34" s="1" t="s">
        <v>34</v>
      </c>
      <c r="O34" s="1" t="s">
        <v>180</v>
      </c>
      <c r="P34" s="1">
        <v>1</v>
      </c>
      <c r="Q34" s="1" t="b">
        <v>1</v>
      </c>
      <c r="R34" s="1" t="str">
        <f>"+X% recovery speed; at full HP, generates a shield"</f>
        <v>+X% recovery speed; at full HP, generates a shield</v>
      </c>
      <c r="S34" s="1" t="s">
        <v>181</v>
      </c>
      <c r="T34" s="1" t="s">
        <v>177</v>
      </c>
      <c r="U34" s="1" t="b">
        <v>0</v>
      </c>
      <c r="V34" s="1" t="s">
        <v>182</v>
      </c>
    </row>
    <row r="35" spans="1:22" ht="76.5" customHeight="1" x14ac:dyDescent="0.25">
      <c r="A35" s="1"/>
      <c r="B35" s="1">
        <v>9013</v>
      </c>
      <c r="C35" s="1" t="s">
        <v>183</v>
      </c>
      <c r="D35" s="1"/>
      <c r="E35" s="1"/>
      <c r="F35" s="1">
        <v>0.5</v>
      </c>
      <c r="G35" s="1" t="s">
        <v>184</v>
      </c>
      <c r="H35" s="1">
        <v>25</v>
      </c>
      <c r="I35" s="1" t="s">
        <v>185</v>
      </c>
      <c r="J35" s="1">
        <v>8001</v>
      </c>
      <c r="K35" s="1" t="s">
        <v>186</v>
      </c>
      <c r="L35" s="1"/>
      <c r="M35" s="1"/>
      <c r="N35" s="1" t="s">
        <v>34</v>
      </c>
      <c r="O35" s="1" t="s">
        <v>187</v>
      </c>
      <c r="P35" s="1">
        <v>1</v>
      </c>
      <c r="Q35" s="1" t="b">
        <v>1</v>
      </c>
      <c r="R35" s="1" t="s">
        <v>188</v>
      </c>
      <c r="S35" s="1" t="s">
        <v>189</v>
      </c>
      <c r="T35" s="1" t="s">
        <v>177</v>
      </c>
      <c r="U35" s="1" t="b">
        <v>0</v>
      </c>
      <c r="V35" s="1" t="s">
        <v>190</v>
      </c>
    </row>
    <row r="36" spans="1:22" ht="30" customHeight="1" x14ac:dyDescent="0.25">
      <c r="A36" s="1"/>
      <c r="B36" s="1">
        <v>9014</v>
      </c>
      <c r="C36" s="1" t="s">
        <v>191</v>
      </c>
      <c r="D36" s="1"/>
      <c r="E36" s="1"/>
      <c r="F36" s="1">
        <v>2002</v>
      </c>
      <c r="G36" s="1" t="s">
        <v>192</v>
      </c>
      <c r="H36" s="1"/>
      <c r="I36" s="1"/>
      <c r="J36" s="1"/>
      <c r="K36" s="1"/>
      <c r="L36" s="1"/>
      <c r="M36" s="1"/>
      <c r="N36" s="1" t="s">
        <v>140</v>
      </c>
      <c r="O36" s="1" t="s">
        <v>193</v>
      </c>
      <c r="P36" s="1">
        <v>1</v>
      </c>
      <c r="Q36" s="1" t="b">
        <v>1</v>
      </c>
      <c r="R36" s="1" t="s">
        <v>194</v>
      </c>
      <c r="S36" s="1" t="s">
        <v>195</v>
      </c>
      <c r="T36" s="1" t="s">
        <v>196</v>
      </c>
      <c r="U36" s="1" t="b">
        <v>0</v>
      </c>
      <c r="V36" s="1" t="s">
        <v>197</v>
      </c>
    </row>
    <row r="37" spans="1:22" ht="30" customHeight="1" x14ac:dyDescent="0.25">
      <c r="A37" s="1"/>
      <c r="B37" s="1">
        <v>9015</v>
      </c>
      <c r="C37" s="1" t="s">
        <v>198</v>
      </c>
      <c r="D37" s="1"/>
      <c r="E37" s="1"/>
      <c r="F37" s="1">
        <v>20</v>
      </c>
      <c r="G37" s="1" t="s">
        <v>199</v>
      </c>
      <c r="H37" s="1">
        <v>10</v>
      </c>
      <c r="I37" s="1" t="s">
        <v>200</v>
      </c>
      <c r="J37" s="1"/>
      <c r="K37" s="1"/>
      <c r="L37" s="1"/>
      <c r="M37" s="1"/>
      <c r="N37" s="1" t="s">
        <v>17</v>
      </c>
      <c r="O37" s="1" t="s">
        <v>201</v>
      </c>
      <c r="P37" s="1">
        <v>1</v>
      </c>
      <c r="Q37" s="1" t="b">
        <v>1</v>
      </c>
      <c r="R37" s="1" t="s">
        <v>202</v>
      </c>
      <c r="S37" s="1" t="s">
        <v>203</v>
      </c>
      <c r="T37" s="1" t="s">
        <v>196</v>
      </c>
      <c r="U37" s="1" t="b">
        <v>0</v>
      </c>
      <c r="V37" s="1" t="s">
        <v>197</v>
      </c>
    </row>
    <row r="38" spans="1:22" ht="30" customHeight="1" x14ac:dyDescent="0.25">
      <c r="A38" s="1"/>
      <c r="B38" s="1">
        <v>9016</v>
      </c>
      <c r="C38" s="1" t="s">
        <v>204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140</v>
      </c>
      <c r="O38" s="1" t="s">
        <v>205</v>
      </c>
      <c r="P38" s="1">
        <v>1</v>
      </c>
      <c r="Q38" s="1" t="b">
        <v>1</v>
      </c>
      <c r="R38" s="1" t="s">
        <v>206</v>
      </c>
      <c r="S38" s="1" t="s">
        <v>207</v>
      </c>
      <c r="T38" s="1" t="s">
        <v>196</v>
      </c>
      <c r="U38" s="1" t="b">
        <v>0</v>
      </c>
      <c r="V38" s="1" t="s">
        <v>197</v>
      </c>
    </row>
    <row r="39" spans="1:22" ht="45" customHeight="1" x14ac:dyDescent="0.25">
      <c r="A39" s="1"/>
      <c r="B39" s="1">
        <v>9017</v>
      </c>
      <c r="C39" s="1" t="s">
        <v>208</v>
      </c>
      <c r="D39" s="1"/>
      <c r="E39" s="1"/>
      <c r="F39" s="1">
        <v>5</v>
      </c>
      <c r="G39" s="1" t="s">
        <v>171</v>
      </c>
      <c r="H39" s="1">
        <v>150</v>
      </c>
      <c r="I39" s="1" t="s">
        <v>200</v>
      </c>
      <c r="J39" s="1">
        <v>1</v>
      </c>
      <c r="K39" s="1" t="s">
        <v>209</v>
      </c>
      <c r="L39" s="1">
        <v>1.5</v>
      </c>
      <c r="M39" s="1" t="s">
        <v>210</v>
      </c>
      <c r="N39" s="1" t="s">
        <v>34</v>
      </c>
      <c r="O39" s="1" t="s">
        <v>211</v>
      </c>
      <c r="P39" s="1">
        <v>1</v>
      </c>
      <c r="Q39" s="1" t="b">
        <v>0</v>
      </c>
      <c r="R39" s="1" t="s">
        <v>212</v>
      </c>
      <c r="S39" s="1" t="s">
        <v>213</v>
      </c>
      <c r="T39" s="1" t="s">
        <v>214</v>
      </c>
      <c r="U39" s="1" t="b">
        <v>0</v>
      </c>
      <c r="V39" s="1" t="s">
        <v>215</v>
      </c>
    </row>
    <row r="40" spans="1:22" ht="45" customHeight="1" x14ac:dyDescent="0.25">
      <c r="A40" s="1"/>
      <c r="B40" s="1">
        <v>9018</v>
      </c>
      <c r="C40" s="1" t="s">
        <v>216</v>
      </c>
      <c r="D40" s="1"/>
      <c r="E40" s="1"/>
      <c r="F40" s="1">
        <v>5</v>
      </c>
      <c r="G40" s="1" t="s">
        <v>171</v>
      </c>
      <c r="H40" s="1">
        <v>150</v>
      </c>
      <c r="I40" s="1" t="s">
        <v>200</v>
      </c>
      <c r="J40" s="1">
        <v>2</v>
      </c>
      <c r="K40" s="1" t="s">
        <v>209</v>
      </c>
      <c r="L40" s="1">
        <v>1.3</v>
      </c>
      <c r="M40" s="1" t="s">
        <v>210</v>
      </c>
      <c r="N40" s="1" t="s">
        <v>34</v>
      </c>
      <c r="O40" s="1" t="s">
        <v>217</v>
      </c>
      <c r="P40" s="1">
        <v>1</v>
      </c>
      <c r="Q40" s="1" t="b">
        <v>0</v>
      </c>
      <c r="R40" s="1" t="s">
        <v>218</v>
      </c>
      <c r="S40" s="1" t="s">
        <v>219</v>
      </c>
      <c r="T40" s="1" t="s">
        <v>214</v>
      </c>
      <c r="U40" s="1" t="b">
        <v>0</v>
      </c>
      <c r="V40" s="1" t="s">
        <v>215</v>
      </c>
    </row>
    <row r="41" spans="1:22" ht="45" customHeight="1" x14ac:dyDescent="0.25">
      <c r="A41" s="1"/>
      <c r="B41" s="1">
        <v>9019</v>
      </c>
      <c r="C41" s="1" t="s">
        <v>220</v>
      </c>
      <c r="D41" s="1"/>
      <c r="E41" s="1"/>
      <c r="F41" s="1">
        <v>5</v>
      </c>
      <c r="G41" s="1" t="s">
        <v>171</v>
      </c>
      <c r="H41" s="1">
        <v>150</v>
      </c>
      <c r="I41" s="1" t="s">
        <v>200</v>
      </c>
      <c r="J41" s="1">
        <v>3</v>
      </c>
      <c r="K41" s="1" t="s">
        <v>209</v>
      </c>
      <c r="L41" s="1">
        <v>1.2</v>
      </c>
      <c r="M41" s="1" t="s">
        <v>210</v>
      </c>
      <c r="N41" s="1" t="s">
        <v>34</v>
      </c>
      <c r="O41" s="1" t="s">
        <v>221</v>
      </c>
      <c r="P41" s="1">
        <v>1</v>
      </c>
      <c r="Q41" s="1" t="b">
        <v>0</v>
      </c>
      <c r="R41" s="1" t="s">
        <v>222</v>
      </c>
      <c r="S41" s="1" t="s">
        <v>223</v>
      </c>
      <c r="T41" s="1" t="s">
        <v>214</v>
      </c>
      <c r="U41" s="1" t="b">
        <v>0</v>
      </c>
      <c r="V41" s="1" t="s">
        <v>215</v>
      </c>
    </row>
    <row r="42" spans="1:22" ht="45" customHeight="1" x14ac:dyDescent="0.25">
      <c r="A42" s="1"/>
      <c r="B42" s="1">
        <v>9020</v>
      </c>
      <c r="C42" s="1" t="s">
        <v>224</v>
      </c>
      <c r="D42" s="1"/>
      <c r="E42" s="1"/>
      <c r="F42" s="1">
        <v>1</v>
      </c>
      <c r="G42" s="1" t="s">
        <v>225</v>
      </c>
      <c r="H42" s="1"/>
      <c r="I42" s="1"/>
      <c r="J42" s="1"/>
      <c r="K42" s="1"/>
      <c r="L42" s="1"/>
      <c r="M42" s="1"/>
      <c r="N42" s="1" t="s">
        <v>140</v>
      </c>
      <c r="O42" s="1" t="s">
        <v>226</v>
      </c>
      <c r="P42" s="1">
        <v>1</v>
      </c>
      <c r="Q42" s="1" t="b">
        <v>1</v>
      </c>
      <c r="R42" s="1" t="str">
        <f>"+1 wingman"</f>
        <v>+1 wingman</v>
      </c>
      <c r="S42" s="1" t="s">
        <v>227</v>
      </c>
      <c r="T42" s="1" t="s">
        <v>228</v>
      </c>
      <c r="U42" s="1" t="b">
        <v>0</v>
      </c>
      <c r="V42" s="1" t="s">
        <v>229</v>
      </c>
    </row>
    <row r="43" spans="1:22" ht="45" customHeight="1" x14ac:dyDescent="0.25">
      <c r="A43" s="1"/>
      <c r="B43" s="1">
        <v>9021</v>
      </c>
      <c r="C43" s="1" t="s">
        <v>230</v>
      </c>
      <c r="D43" s="1"/>
      <c r="E43" s="1"/>
      <c r="F43" s="1">
        <v>1</v>
      </c>
      <c r="G43" s="1" t="s">
        <v>225</v>
      </c>
      <c r="H43" s="1"/>
      <c r="I43" s="1"/>
      <c r="J43" s="1"/>
      <c r="K43" s="1"/>
      <c r="L43" s="1"/>
      <c r="M43" s="1"/>
      <c r="N43" s="1" t="s">
        <v>140</v>
      </c>
      <c r="O43" s="1" t="s">
        <v>231</v>
      </c>
      <c r="P43" s="1">
        <v>1</v>
      </c>
      <c r="Q43" s="1" t="b">
        <v>1</v>
      </c>
      <c r="R43" s="1" t="str">
        <f>"+1 wingman (2 total)"</f>
        <v>+1 wingman (2 total)</v>
      </c>
      <c r="S43" s="1" t="s">
        <v>232</v>
      </c>
      <c r="T43" s="1" t="s">
        <v>228</v>
      </c>
      <c r="U43" s="1" t="b">
        <v>0</v>
      </c>
      <c r="V43" s="1" t="s">
        <v>229</v>
      </c>
    </row>
    <row r="44" spans="1:22" ht="45" customHeight="1" x14ac:dyDescent="0.25">
      <c r="A44" s="1"/>
      <c r="B44" s="1">
        <v>9022</v>
      </c>
      <c r="C44" s="1" t="s">
        <v>233</v>
      </c>
      <c r="D44" s="1"/>
      <c r="E44" s="1"/>
      <c r="F44" s="1">
        <v>2</v>
      </c>
      <c r="G44" s="1" t="s">
        <v>225</v>
      </c>
      <c r="H44" s="1"/>
      <c r="I44" s="1"/>
      <c r="J44" s="1"/>
      <c r="K44" s="1"/>
      <c r="L44" s="1"/>
      <c r="M44" s="1"/>
      <c r="N44" s="1" t="s">
        <v>140</v>
      </c>
      <c r="O44" s="1" t="s">
        <v>234</v>
      </c>
      <c r="P44" s="1">
        <v>1</v>
      </c>
      <c r="Q44" s="1" t="b">
        <v>1</v>
      </c>
      <c r="R44" s="1" t="str">
        <f>"+2 wingman (4 total)"</f>
        <v>+2 wingman (4 total)</v>
      </c>
      <c r="S44" s="1" t="s">
        <v>235</v>
      </c>
      <c r="T44" s="1" t="s">
        <v>228</v>
      </c>
      <c r="U44" s="1" t="b">
        <v>0</v>
      </c>
      <c r="V44" s="1" t="s">
        <v>229</v>
      </c>
    </row>
    <row r="45" spans="1:22" ht="45" customHeight="1" x14ac:dyDescent="0.25">
      <c r="A45" s="1"/>
      <c r="B45" s="1">
        <v>9023</v>
      </c>
      <c r="C45" s="1" t="s">
        <v>236</v>
      </c>
      <c r="D45" s="1"/>
      <c r="E45" s="1"/>
      <c r="F45" s="1">
        <v>10</v>
      </c>
      <c r="G45" s="1" t="s">
        <v>237</v>
      </c>
      <c r="H45" s="1"/>
      <c r="I45" s="1"/>
      <c r="J45" s="1"/>
      <c r="K45" s="1"/>
      <c r="L45" s="1"/>
      <c r="M45" s="1"/>
      <c r="N45" s="1" t="s">
        <v>17</v>
      </c>
      <c r="O45" s="1" t="s">
        <v>238</v>
      </c>
      <c r="P45" s="1">
        <v>1</v>
      </c>
      <c r="Q45" s="1" t="b">
        <v>1</v>
      </c>
      <c r="R45" s="1" t="s">
        <v>239</v>
      </c>
      <c r="S45" s="1" t="s">
        <v>240</v>
      </c>
      <c r="T45" s="1" t="s">
        <v>241</v>
      </c>
      <c r="U45" s="1" t="b">
        <v>0</v>
      </c>
      <c r="V45" s="1" t="s">
        <v>242</v>
      </c>
    </row>
    <row r="46" spans="1:22" ht="45" customHeight="1" x14ac:dyDescent="0.25">
      <c r="A46" s="1"/>
      <c r="B46" s="1">
        <v>9024</v>
      </c>
      <c r="C46" s="1" t="s">
        <v>243</v>
      </c>
      <c r="D46" s="1"/>
      <c r="E46" s="1"/>
      <c r="F46" s="1">
        <v>10</v>
      </c>
      <c r="G46" s="1" t="s">
        <v>237</v>
      </c>
      <c r="H46" s="1"/>
      <c r="I46" s="1"/>
      <c r="J46" s="1"/>
      <c r="K46" s="1"/>
      <c r="L46" s="1"/>
      <c r="M46" s="1"/>
      <c r="N46" s="1" t="s">
        <v>17</v>
      </c>
      <c r="O46" s="1" t="s">
        <v>244</v>
      </c>
      <c r="P46" s="1">
        <v>1</v>
      </c>
      <c r="Q46" s="1" t="b">
        <v>1</v>
      </c>
      <c r="R46" s="1" t="s">
        <v>245</v>
      </c>
      <c r="S46" s="1" t="s">
        <v>246</v>
      </c>
      <c r="T46" s="1" t="s">
        <v>241</v>
      </c>
      <c r="U46" s="1" t="b">
        <v>0</v>
      </c>
      <c r="V46" s="1" t="s">
        <v>242</v>
      </c>
    </row>
    <row r="47" spans="1:22" ht="45" customHeight="1" x14ac:dyDescent="0.25">
      <c r="A47" s="1"/>
      <c r="B47" s="1">
        <v>9025</v>
      </c>
      <c r="C47" s="1" t="s">
        <v>247</v>
      </c>
      <c r="D47" s="1"/>
      <c r="E47" s="1"/>
      <c r="F47" s="1">
        <v>10</v>
      </c>
      <c r="G47" s="1" t="s">
        <v>248</v>
      </c>
      <c r="H47" s="1">
        <v>100</v>
      </c>
      <c r="I47" s="1" t="s">
        <v>249</v>
      </c>
      <c r="J47" s="1">
        <v>3</v>
      </c>
      <c r="K47" s="1" t="s">
        <v>250</v>
      </c>
      <c r="L47" s="1"/>
      <c r="M47" s="1"/>
      <c r="N47" s="1" t="s">
        <v>17</v>
      </c>
      <c r="O47" s="1" t="s">
        <v>251</v>
      </c>
      <c r="P47" s="1">
        <v>1</v>
      </c>
      <c r="Q47" s="1" t="b">
        <v>1</v>
      </c>
      <c r="R47" s="1" t="s">
        <v>252</v>
      </c>
      <c r="S47" s="1" t="s">
        <v>253</v>
      </c>
      <c r="T47" s="1" t="s">
        <v>241</v>
      </c>
      <c r="U47" s="1" t="b">
        <v>0</v>
      </c>
      <c r="V47" s="1" t="s">
        <v>242</v>
      </c>
    </row>
    <row r="48" spans="1:22" x14ac:dyDescent="0.25">
      <c r="A48" s="1"/>
      <c r="B48" s="1">
        <v>9026</v>
      </c>
      <c r="C48" s="1" t="s">
        <v>254</v>
      </c>
      <c r="D48" s="1"/>
      <c r="E48" s="1"/>
      <c r="F48" s="1">
        <v>2</v>
      </c>
      <c r="G48" s="1" t="s">
        <v>255</v>
      </c>
      <c r="H48" s="1">
        <v>0</v>
      </c>
      <c r="I48" s="1" t="s">
        <v>256</v>
      </c>
      <c r="J48" s="1"/>
      <c r="K48" s="1"/>
      <c r="L48" s="1"/>
      <c r="M48" s="1"/>
      <c r="N48" s="1" t="s">
        <v>140</v>
      </c>
      <c r="O48" s="1" t="s">
        <v>257</v>
      </c>
      <c r="P48" s="1">
        <v>10</v>
      </c>
      <c r="Q48" s="1" t="b">
        <v>1</v>
      </c>
      <c r="R48" s="1"/>
      <c r="S48" s="1"/>
      <c r="T48" s="1"/>
      <c r="U48" s="1"/>
      <c r="V48" s="1"/>
    </row>
    <row r="49" spans="1:22" ht="30" customHeight="1" x14ac:dyDescent="0.25">
      <c r="A49" s="1"/>
      <c r="B49" s="1">
        <v>9027</v>
      </c>
      <c r="C49" s="1" t="s">
        <v>258</v>
      </c>
      <c r="D49" s="1"/>
      <c r="E49" s="1"/>
      <c r="F49" s="1">
        <v>3</v>
      </c>
      <c r="G49" s="1" t="s">
        <v>171</v>
      </c>
      <c r="H49">
        <v>1</v>
      </c>
      <c r="I49" t="s">
        <v>339</v>
      </c>
      <c r="J49" s="1">
        <v>2</v>
      </c>
      <c r="K49" s="1" t="s">
        <v>259</v>
      </c>
      <c r="L49" s="1"/>
      <c r="M49" s="1"/>
      <c r="N49" s="1" t="s">
        <v>34</v>
      </c>
      <c r="O49" s="1" t="s">
        <v>260</v>
      </c>
      <c r="P49" s="1">
        <v>1</v>
      </c>
      <c r="Q49" s="1" t="b">
        <v>1</v>
      </c>
      <c r="R49" s="1" t="s">
        <v>261</v>
      </c>
      <c r="S49" s="1" t="s">
        <v>262</v>
      </c>
      <c r="T49" s="1" t="s">
        <v>263</v>
      </c>
      <c r="U49" s="1" t="b">
        <v>0</v>
      </c>
      <c r="V49" s="1" t="s">
        <v>264</v>
      </c>
    </row>
    <row r="50" spans="1:22" ht="30" customHeight="1" x14ac:dyDescent="0.25">
      <c r="A50" s="1"/>
      <c r="B50" s="1">
        <v>9028</v>
      </c>
      <c r="C50" s="1" t="s">
        <v>265</v>
      </c>
      <c r="D50" s="1"/>
      <c r="E50" s="1"/>
      <c r="F50" s="1">
        <v>3</v>
      </c>
      <c r="G50" s="1" t="s">
        <v>171</v>
      </c>
      <c r="H50" s="1">
        <v>2</v>
      </c>
      <c r="I50" t="s">
        <v>339</v>
      </c>
      <c r="J50" s="1">
        <v>4</v>
      </c>
      <c r="K50" s="1" t="s">
        <v>259</v>
      </c>
      <c r="L50" s="1"/>
      <c r="M50" s="1"/>
      <c r="N50" s="1" t="s">
        <v>34</v>
      </c>
      <c r="O50" s="1" t="s">
        <v>266</v>
      </c>
      <c r="P50" s="1">
        <v>1</v>
      </c>
      <c r="Q50" s="1" t="b">
        <v>1</v>
      </c>
      <c r="R50" s="1" t="s">
        <v>267</v>
      </c>
      <c r="S50" s="1" t="s">
        <v>268</v>
      </c>
      <c r="T50" s="1" t="s">
        <v>263</v>
      </c>
      <c r="U50" s="1" t="b">
        <v>0</v>
      </c>
      <c r="V50" s="1" t="s">
        <v>264</v>
      </c>
    </row>
    <row r="51" spans="1:22" ht="30" customHeight="1" x14ac:dyDescent="0.25">
      <c r="A51" s="1"/>
      <c r="B51" s="1">
        <v>9029</v>
      </c>
      <c r="C51" s="1" t="s">
        <v>269</v>
      </c>
      <c r="D51" s="1"/>
      <c r="E51" s="1"/>
      <c r="F51" s="1">
        <v>3</v>
      </c>
      <c r="G51" s="1" t="s">
        <v>171</v>
      </c>
      <c r="H51" s="1">
        <v>3</v>
      </c>
      <c r="I51" t="s">
        <v>339</v>
      </c>
      <c r="J51" s="1">
        <v>8</v>
      </c>
      <c r="K51" s="1" t="s">
        <v>259</v>
      </c>
      <c r="L51" s="1"/>
      <c r="M51" s="1"/>
      <c r="N51" s="1" t="s">
        <v>34</v>
      </c>
      <c r="O51" s="1" t="s">
        <v>270</v>
      </c>
      <c r="P51" s="1">
        <v>1</v>
      </c>
      <c r="Q51" s="1" t="b">
        <v>1</v>
      </c>
      <c r="R51" s="1" t="s">
        <v>271</v>
      </c>
      <c r="S51" s="1" t="s">
        <v>272</v>
      </c>
      <c r="T51" s="1" t="s">
        <v>263</v>
      </c>
      <c r="U51" s="1" t="b">
        <v>0</v>
      </c>
      <c r="V51" s="1" t="s">
        <v>264</v>
      </c>
    </row>
    <row r="52" spans="1:22" x14ac:dyDescent="0.25">
      <c r="A52" s="1"/>
      <c r="B52" s="1">
        <v>9030</v>
      </c>
      <c r="C52" s="1" t="s">
        <v>273</v>
      </c>
      <c r="D52" s="1"/>
      <c r="E52" s="1"/>
      <c r="F52" s="1">
        <v>2005</v>
      </c>
      <c r="G52" s="1" t="s">
        <v>274</v>
      </c>
      <c r="H52" s="1">
        <v>0</v>
      </c>
      <c r="I52" s="1" t="s">
        <v>275</v>
      </c>
      <c r="J52" s="1"/>
      <c r="K52" s="1"/>
      <c r="L52" s="1"/>
      <c r="M52" s="1"/>
      <c r="N52" s="1" t="s">
        <v>34</v>
      </c>
      <c r="O52" s="1" t="s">
        <v>276</v>
      </c>
      <c r="P52" s="1">
        <v>1</v>
      </c>
      <c r="Q52" s="1" t="b">
        <v>1</v>
      </c>
      <c r="R52" s="1" t="s">
        <v>277</v>
      </c>
      <c r="S52" s="1" t="s">
        <v>278</v>
      </c>
      <c r="T52" s="1" t="s">
        <v>279</v>
      </c>
      <c r="U52" s="1" t="b">
        <v>0</v>
      </c>
      <c r="V52" s="1" t="s">
        <v>280</v>
      </c>
    </row>
    <row r="53" spans="1:22" x14ac:dyDescent="0.25">
      <c r="A53" s="1"/>
      <c r="B53" s="1">
        <v>9031</v>
      </c>
      <c r="C53" s="1" t="s">
        <v>281</v>
      </c>
      <c r="D53" s="1"/>
      <c r="E53" s="1"/>
      <c r="F53" s="1">
        <v>2009</v>
      </c>
      <c r="G53" s="1" t="s">
        <v>274</v>
      </c>
      <c r="H53" s="1">
        <v>2005</v>
      </c>
      <c r="I53" s="1" t="s">
        <v>275</v>
      </c>
      <c r="J53" s="1"/>
      <c r="K53" s="1"/>
      <c r="L53" s="1"/>
      <c r="M53" s="1"/>
      <c r="N53" s="1" t="s">
        <v>34</v>
      </c>
      <c r="O53" s="1" t="s">
        <v>282</v>
      </c>
      <c r="P53" s="1">
        <v>1</v>
      </c>
      <c r="Q53" s="1" t="b">
        <v>1</v>
      </c>
      <c r="R53" s="1" t="s">
        <v>283</v>
      </c>
      <c r="S53" s="1" t="s">
        <v>284</v>
      </c>
      <c r="T53" s="1" t="s">
        <v>279</v>
      </c>
      <c r="U53" s="1" t="b">
        <v>0</v>
      </c>
      <c r="V53" s="1" t="s">
        <v>285</v>
      </c>
    </row>
    <row r="54" spans="1:22" x14ac:dyDescent="0.25">
      <c r="A54" s="1"/>
      <c r="B54" s="1">
        <v>9032</v>
      </c>
      <c r="C54" s="1" t="s">
        <v>286</v>
      </c>
      <c r="D54" s="1"/>
      <c r="E54" s="1"/>
      <c r="F54" s="1">
        <v>2010</v>
      </c>
      <c r="G54" s="1" t="s">
        <v>274</v>
      </c>
      <c r="H54" s="1">
        <v>2009</v>
      </c>
      <c r="I54" s="1" t="s">
        <v>275</v>
      </c>
      <c r="J54" s="1"/>
      <c r="K54" s="1"/>
      <c r="L54" s="1"/>
      <c r="M54" s="1"/>
      <c r="N54" s="1" t="s">
        <v>34</v>
      </c>
      <c r="O54" s="1" t="s">
        <v>287</v>
      </c>
      <c r="P54" s="1">
        <v>1</v>
      </c>
      <c r="Q54" s="1" t="b">
        <v>1</v>
      </c>
      <c r="R54" s="1" t="s">
        <v>288</v>
      </c>
      <c r="S54" s="1" t="s">
        <v>289</v>
      </c>
      <c r="T54" s="1" t="s">
        <v>279</v>
      </c>
      <c r="U54" s="1" t="b">
        <v>0</v>
      </c>
      <c r="V54" s="1" t="s">
        <v>290</v>
      </c>
    </row>
    <row r="55" spans="1:22" x14ac:dyDescent="0.25">
      <c r="A55" s="1"/>
      <c r="B55" s="1">
        <v>9033</v>
      </c>
      <c r="C55" s="1" t="s">
        <v>291</v>
      </c>
      <c r="D55" s="1"/>
      <c r="E55" s="1"/>
      <c r="F55" s="1">
        <v>5</v>
      </c>
      <c r="G55" s="1" t="s">
        <v>171</v>
      </c>
      <c r="H55" s="1">
        <v>200</v>
      </c>
      <c r="I55" s="1" t="s">
        <v>200</v>
      </c>
      <c r="J55" s="1">
        <v>1.7</v>
      </c>
      <c r="K55" s="1" t="s">
        <v>292</v>
      </c>
      <c r="L55" s="1">
        <v>1</v>
      </c>
      <c r="M55" s="1" t="s">
        <v>166</v>
      </c>
      <c r="N55" s="1" t="s">
        <v>34</v>
      </c>
      <c r="O55" s="1" t="s">
        <v>293</v>
      </c>
      <c r="P55" s="1">
        <v>1</v>
      </c>
      <c r="Q55" s="1" t="b">
        <v>1</v>
      </c>
      <c r="R55" s="1" t="s">
        <v>294</v>
      </c>
      <c r="S55" s="1" t="s">
        <v>295</v>
      </c>
      <c r="T55" s="1" t="s">
        <v>296</v>
      </c>
      <c r="U55" s="1" t="b">
        <v>0</v>
      </c>
      <c r="V55" s="1" t="s">
        <v>297</v>
      </c>
    </row>
    <row r="56" spans="1:22" x14ac:dyDescent="0.25">
      <c r="A56" s="1"/>
      <c r="B56" s="1">
        <v>9034</v>
      </c>
      <c r="C56" s="1" t="s">
        <v>298</v>
      </c>
      <c r="D56" s="1"/>
      <c r="E56" s="1"/>
      <c r="F56" s="1">
        <v>5</v>
      </c>
      <c r="G56" s="1" t="s">
        <v>171</v>
      </c>
      <c r="H56" s="1">
        <v>200</v>
      </c>
      <c r="I56" s="1" t="s">
        <v>200</v>
      </c>
      <c r="J56" s="1">
        <v>2.5</v>
      </c>
      <c r="K56" s="1" t="s">
        <v>292</v>
      </c>
      <c r="L56" s="1">
        <v>1.3</v>
      </c>
      <c r="M56" s="1" t="s">
        <v>166</v>
      </c>
      <c r="N56" s="1" t="s">
        <v>34</v>
      </c>
      <c r="O56" s="1" t="s">
        <v>299</v>
      </c>
      <c r="P56" s="1">
        <v>1</v>
      </c>
      <c r="Q56" s="1" t="b">
        <v>1</v>
      </c>
      <c r="R56" s="1" t="s">
        <v>300</v>
      </c>
      <c r="S56" s="1" t="s">
        <v>301</v>
      </c>
      <c r="T56" s="1" t="s">
        <v>296</v>
      </c>
      <c r="U56" s="1" t="b">
        <v>0</v>
      </c>
      <c r="V56" s="1" t="s">
        <v>302</v>
      </c>
    </row>
    <row r="57" spans="1:22" x14ac:dyDescent="0.25">
      <c r="A57" s="1"/>
      <c r="B57" s="1">
        <v>9035</v>
      </c>
      <c r="C57" s="1" t="s">
        <v>303</v>
      </c>
      <c r="D57" s="1"/>
      <c r="E57" s="1"/>
      <c r="F57" s="1">
        <v>5</v>
      </c>
      <c r="G57" s="1" t="s">
        <v>171</v>
      </c>
      <c r="H57" s="1">
        <v>200</v>
      </c>
      <c r="I57" s="1" t="s">
        <v>200</v>
      </c>
      <c r="J57" s="1">
        <v>2.5</v>
      </c>
      <c r="K57" s="1" t="s">
        <v>292</v>
      </c>
      <c r="L57" s="1">
        <v>1.5</v>
      </c>
      <c r="M57" s="1" t="s">
        <v>166</v>
      </c>
      <c r="N57" s="1" t="s">
        <v>34</v>
      </c>
      <c r="O57" s="1" t="s">
        <v>304</v>
      </c>
      <c r="P57" s="1">
        <v>1</v>
      </c>
      <c r="Q57" s="1" t="b">
        <v>1</v>
      </c>
      <c r="R57" s="1" t="s">
        <v>305</v>
      </c>
      <c r="S57" s="1" t="s">
        <v>306</v>
      </c>
      <c r="T57" s="1" t="s">
        <v>296</v>
      </c>
      <c r="U57" s="1" t="b">
        <v>0</v>
      </c>
      <c r="V57" s="1" t="s">
        <v>307</v>
      </c>
    </row>
    <row r="58" spans="1:22" x14ac:dyDescent="0.25">
      <c r="A58" s="1"/>
      <c r="B58" s="1">
        <v>9036</v>
      </c>
      <c r="C58" s="1" t="s">
        <v>308</v>
      </c>
      <c r="D58" s="1"/>
      <c r="E58" s="1"/>
      <c r="F58" s="1">
        <v>1</v>
      </c>
      <c r="G58" s="1" t="s">
        <v>309</v>
      </c>
      <c r="H58" s="1"/>
      <c r="I58" s="1"/>
      <c r="J58" s="1"/>
      <c r="K58" s="1"/>
      <c r="L58" s="1"/>
      <c r="M58" s="1"/>
      <c r="N58" s="1" t="s">
        <v>140</v>
      </c>
      <c r="O58" s="1" t="s">
        <v>310</v>
      </c>
      <c r="P58" s="1">
        <v>1</v>
      </c>
      <c r="Q58" s="1" t="b">
        <v>1</v>
      </c>
      <c r="R58" s="1" t="s">
        <v>311</v>
      </c>
      <c r="S58" s="1" t="s">
        <v>312</v>
      </c>
      <c r="T58" s="1" t="s">
        <v>313</v>
      </c>
      <c r="U58" s="1" t="b">
        <v>0</v>
      </c>
      <c r="V58" s="1" t="s">
        <v>314</v>
      </c>
    </row>
    <row r="59" spans="1:22" x14ac:dyDescent="0.25">
      <c r="A59" s="1"/>
      <c r="B59" s="1">
        <v>9037</v>
      </c>
      <c r="C59" s="1" t="s">
        <v>315</v>
      </c>
      <c r="D59" s="1"/>
      <c r="E59" s="1"/>
      <c r="F59" s="1">
        <v>2</v>
      </c>
      <c r="G59" s="1" t="s">
        <v>309</v>
      </c>
      <c r="H59" s="1"/>
      <c r="I59" s="1"/>
      <c r="J59" s="1"/>
      <c r="K59" s="1"/>
      <c r="L59" s="1"/>
      <c r="M59" s="1"/>
      <c r="N59" s="1" t="s">
        <v>140</v>
      </c>
      <c r="O59" s="1" t="s">
        <v>316</v>
      </c>
      <c r="P59" s="1">
        <v>1</v>
      </c>
      <c r="Q59" s="1" t="b">
        <v>1</v>
      </c>
      <c r="R59" s="1" t="s">
        <v>317</v>
      </c>
      <c r="S59" s="1" t="s">
        <v>318</v>
      </c>
      <c r="T59" s="1" t="s">
        <v>313</v>
      </c>
      <c r="U59" s="1" t="b">
        <v>0</v>
      </c>
      <c r="V59" s="1" t="s">
        <v>319</v>
      </c>
    </row>
    <row r="60" spans="1:22" x14ac:dyDescent="0.25">
      <c r="A60" s="1"/>
      <c r="B60" s="1">
        <v>9038</v>
      </c>
      <c r="C60" s="1" t="s">
        <v>320</v>
      </c>
      <c r="D60" s="1"/>
      <c r="E60" s="1"/>
      <c r="F60" s="1">
        <v>3</v>
      </c>
      <c r="G60" s="1" t="s">
        <v>309</v>
      </c>
      <c r="H60" s="1"/>
      <c r="I60" s="1"/>
      <c r="J60" s="1"/>
      <c r="K60" s="1"/>
      <c r="L60" s="1"/>
      <c r="M60" s="1"/>
      <c r="N60" s="1" t="s">
        <v>140</v>
      </c>
      <c r="O60" s="1" t="s">
        <v>321</v>
      </c>
      <c r="P60" s="1">
        <v>1</v>
      </c>
      <c r="Q60" s="1" t="b">
        <v>1</v>
      </c>
      <c r="R60" s="1" t="s">
        <v>322</v>
      </c>
      <c r="S60" s="1" t="s">
        <v>323</v>
      </c>
      <c r="T60" s="1" t="s">
        <v>313</v>
      </c>
      <c r="U60" s="1" t="b">
        <v>0</v>
      </c>
      <c r="V60" s="1" t="s">
        <v>169</v>
      </c>
    </row>
    <row r="61" spans="1:22" x14ac:dyDescent="0.25">
      <c r="A61" s="1"/>
      <c r="B61" s="1">
        <v>9039</v>
      </c>
      <c r="C61" s="1" t="s">
        <v>324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34</v>
      </c>
      <c r="O61" s="1" t="s">
        <v>325</v>
      </c>
      <c r="P61" s="1">
        <v>100</v>
      </c>
      <c r="Q61" s="1" t="b">
        <v>1</v>
      </c>
      <c r="R61" s="1"/>
      <c r="S61" s="1"/>
      <c r="T61" s="1"/>
      <c r="U61" s="1"/>
      <c r="V61" s="1"/>
    </row>
    <row r="62" spans="1:22" x14ac:dyDescent="0.25">
      <c r="A62" s="1"/>
      <c r="B62" s="1">
        <v>9040</v>
      </c>
      <c r="C62" s="1" t="s">
        <v>326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34</v>
      </c>
      <c r="O62" s="1" t="s">
        <v>327</v>
      </c>
      <c r="P62" s="1">
        <v>100</v>
      </c>
      <c r="Q62" s="1" t="b">
        <v>1</v>
      </c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>
        <v>9042</v>
      </c>
      <c r="C64" s="1" t="s">
        <v>328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 t="s">
        <v>140</v>
      </c>
      <c r="O64" s="1" t="s">
        <v>329</v>
      </c>
      <c r="P64" s="1">
        <v>1</v>
      </c>
      <c r="Q64" s="1" t="b">
        <v>1</v>
      </c>
      <c r="R64" s="1" t="s">
        <v>330</v>
      </c>
      <c r="S64" s="1" t="s">
        <v>331</v>
      </c>
      <c r="T64" s="1" t="s">
        <v>332</v>
      </c>
      <c r="U64" s="1" t="b">
        <v>0</v>
      </c>
      <c r="V64" s="1" t="s">
        <v>333</v>
      </c>
    </row>
    <row r="65" spans="1:22" x14ac:dyDescent="0.25">
      <c r="A65" s="1"/>
      <c r="B65" s="1">
        <v>9043</v>
      </c>
      <c r="C65" s="1" t="s">
        <v>334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140</v>
      </c>
      <c r="O65" s="1" t="s">
        <v>335</v>
      </c>
      <c r="P65" s="1">
        <v>1</v>
      </c>
      <c r="Q65" s="1" t="b">
        <v>1</v>
      </c>
      <c r="R65" s="1" t="s">
        <v>336</v>
      </c>
      <c r="S65" s="1" t="s">
        <v>337</v>
      </c>
      <c r="T65" s="1" t="s">
        <v>332</v>
      </c>
      <c r="U65" s="1" t="b">
        <v>0</v>
      </c>
      <c r="V65" s="1" t="s">
        <v>338</v>
      </c>
    </row>
  </sheetData>
  <dataValidations count="2">
    <dataValidation type="list" allowBlank="1" showInputMessage="1" showErrorMessage="1" sqref="Q1:Q1048576" xr:uid="{00000000-0002-0000-0100-000000000000}">
      <formula1>"TRUE,FALSE"</formula1>
    </dataValidation>
    <dataValidation type="list" allowBlank="1" showInputMessage="1" showErrorMessage="1" sqref="N1:N1048576" xr:uid="{00000000-0002-0000-0100-000001000000}">
      <formula1>"None,OnHit,OnCast,OnKill,OnDeath,OnDamage,Periodic"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Buffs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Lechen</cp:lastModifiedBy>
  <dcterms:created xsi:type="dcterms:W3CDTF">2025-10-15T00:14:01Z</dcterms:created>
  <dcterms:modified xsi:type="dcterms:W3CDTF">2025-10-16T22:46:04Z</dcterms:modified>
</cp:coreProperties>
</file>